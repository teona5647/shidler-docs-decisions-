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nahiteon/Downloads/"/>
    </mc:Choice>
  </mc:AlternateContent>
  <xr:revisionPtr revIDLastSave="0" documentId="8_{ACCB7A10-6557-124A-90F8-D723E66D8079}" xr6:coauthVersionLast="47" xr6:coauthVersionMax="47" xr10:uidLastSave="{00000000-0000-0000-0000-000000000000}"/>
  <bookViews>
    <workbookView xWindow="3160" yWindow="660" windowWidth="26240" windowHeight="16900" xr2:uid="{00000000-000D-0000-FFFF-FFFF00000000}"/>
  </bookViews>
  <sheets>
    <sheet name="FX Hedge Model" sheetId="1" r:id="rId1"/>
    <sheet name="Notes &amp; Assumptions" sheetId="2" r:id="rId2"/>
  </sheets>
  <definedNames>
    <definedName name="F0_in">'FX Hedge Model'!B6</definedName>
    <definedName name="FC_AMT">'FX Hedge Model'!B4</definedName>
    <definedName name="K_CALL">'FX Hedge Model'!B10</definedName>
    <definedName name="K_PUT">'FX Hedge Model'!B9</definedName>
    <definedName name="PREM_CALL">'FX Hedge Model'!B12</definedName>
    <definedName name="PREM_PUT">'FX Hedge Model'!B11</definedName>
    <definedName name="R_FC">'FX Hedge Model'!B8</definedName>
    <definedName name="R_USD">'FX Hedge Model'!B7</definedName>
    <definedName name="S0_in">'FX Hedge Model'!B5</definedName>
    <definedName name="T_DAYS">'FX Hedge Model'!B13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20" i="1"/>
  <c r="E21" i="1"/>
  <c r="E22" i="1"/>
  <c r="E23" i="1"/>
  <c r="E24" i="1"/>
  <c r="E25" i="1"/>
  <c r="E26" i="1"/>
  <c r="E27" i="1"/>
  <c r="E28" i="1"/>
  <c r="E18" i="1"/>
  <c r="A22" i="1"/>
  <c r="B28" i="1"/>
  <c r="B27" i="1"/>
  <c r="B26" i="1"/>
  <c r="B25" i="1"/>
  <c r="B24" i="1"/>
  <c r="B23" i="1"/>
  <c r="B22" i="1"/>
  <c r="B21" i="1"/>
  <c r="B20" i="1"/>
  <c r="B19" i="1"/>
  <c r="B18" i="1"/>
  <c r="C19" i="1"/>
  <c r="C20" i="1"/>
  <c r="C21" i="1"/>
  <c r="C22" i="1"/>
  <c r="C23" i="1"/>
  <c r="C24" i="1"/>
  <c r="C25" i="1"/>
  <c r="C26" i="1"/>
  <c r="C27" i="1"/>
  <c r="C28" i="1"/>
  <c r="C18" i="1"/>
  <c r="E4" i="1"/>
  <c r="H4" i="1"/>
  <c r="D18" i="1"/>
  <c r="A23" i="1"/>
  <c r="A21" i="1"/>
  <c r="A27" i="1"/>
  <c r="A26" i="1"/>
  <c r="A25" i="1"/>
  <c r="A24" i="1"/>
  <c r="A28" i="1"/>
  <c r="A20" i="1"/>
  <c r="A19" i="1"/>
  <c r="A18" i="1"/>
  <c r="E13" i="1"/>
  <c r="E12" i="1"/>
  <c r="E9" i="1"/>
  <c r="E7" i="1"/>
  <c r="E8" i="1"/>
  <c r="D25" i="1" l="1"/>
  <c r="D28" i="1"/>
  <c r="D23" i="1"/>
  <c r="D20" i="1"/>
  <c r="D26" i="1"/>
  <c r="D21" i="1"/>
  <c r="H5" i="1"/>
  <c r="D22" i="1"/>
  <c r="D24" i="1"/>
  <c r="D19" i="1"/>
  <c r="D27" i="1"/>
</calcChain>
</file>

<file path=xl/sharedStrings.xml><?xml version="1.0" encoding="utf-8"?>
<sst xmlns="http://schemas.openxmlformats.org/spreadsheetml/2006/main" count="40" uniqueCount="40">
  <si>
    <t>FX Hedge Analysis Model</t>
  </si>
  <si>
    <t>Inputs</t>
  </si>
  <si>
    <t>Forward Hedge</t>
  </si>
  <si>
    <t>Summary Outputs</t>
  </si>
  <si>
    <t>Foreign Currency Amount (FC_AMT)</t>
  </si>
  <si>
    <t>USD Proceeds</t>
  </si>
  <si>
    <t>Forward Hedge USD</t>
  </si>
  <si>
    <t>Spot Rate S0 (USD per FC)</t>
  </si>
  <si>
    <t>Money Market Hedge USD</t>
  </si>
  <si>
    <t>Forward Rate F0 (USD per FC)</t>
  </si>
  <si>
    <t>Money Market Hedge</t>
  </si>
  <si>
    <t>Recommendation</t>
  </si>
  <si>
    <t>USD Interest Rate (R_USD)</t>
  </si>
  <si>
    <t>PV of FC to borrow</t>
  </si>
  <si>
    <t>Foreign Interest Rate (R_FC)</t>
  </si>
  <si>
    <t>USD from spot conversion</t>
  </si>
  <si>
    <t>Put Strike (K_PUT)</t>
  </si>
  <si>
    <t>USD future value</t>
  </si>
  <si>
    <t>Call Strike (K_CALL)</t>
  </si>
  <si>
    <t>Put Premium USD per FC (PREM_PUT)</t>
  </si>
  <si>
    <t>Option Hedge</t>
  </si>
  <si>
    <t>Call Premium USD per FC (PREM_CALL)</t>
  </si>
  <si>
    <t>Put Premium Total USD</t>
  </si>
  <si>
    <t>Time Horizon Days (T_DAYS)</t>
  </si>
  <si>
    <t>Call Premium Total USD</t>
  </si>
  <si>
    <t>Sensitivity Analysis (Ending Spot Rate S_T)</t>
  </si>
  <si>
    <t>S_T</t>
  </si>
  <si>
    <t>Unhedged USD</t>
  </si>
  <si>
    <t>Forward USD</t>
  </si>
  <si>
    <t>MM USD</t>
  </si>
  <si>
    <t>Put Hedge USD</t>
  </si>
  <si>
    <t>Notes &amp; Assumptions</t>
  </si>
  <si>
    <t>All rates annualized, 365-day year.</t>
  </si>
  <si>
    <t>Premiums paid upfront.</t>
  </si>
  <si>
    <t>Ignore transaction costs for simplicity</t>
  </si>
  <si>
    <t>Spot, forward, premia as per memo</t>
  </si>
  <si>
    <t>Results rounded to nearest dollar</t>
  </si>
  <si>
    <t>MM hedge and forward should nearly match</t>
  </si>
  <si>
    <t>Sensitivity range is S_T = .95 S₀ ~ 1.05 S₀</t>
  </si>
  <si>
    <t>Add other model notes as you proceed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</si>
</sst>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6"/>
      <color theme="1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Hedge Strategy Comparison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'FX Hedge Model'!$B$17</c:f>
              <c:strCache>
                <c:ptCount val="1"/>
                <c:pt idx="0">
                  <c:v>Unhedged USD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'FX Hedge Model'!$A$18:$A$28</c:f>
              <c:numCache>
                <c:formatCode>General</c:formatCode>
                <c:ptCount val="11"/>
                <c:pt idx="0">
                  <c:v>1.094875</c:v>
                </c:pt>
                <c:pt idx="1">
                  <c:v>1.1064000000000001</c:v>
                </c:pt>
                <c:pt idx="2">
                  <c:v>1.1179250000000001</c:v>
                </c:pt>
                <c:pt idx="3">
                  <c:v>1.1294500000000001</c:v>
                </c:pt>
                <c:pt idx="4">
                  <c:v>1.1409750000000001</c:v>
                </c:pt>
                <c:pt idx="5">
                  <c:v>1.1525000000000001</c:v>
                </c:pt>
                <c:pt idx="6">
                  <c:v>1.1640250000000001</c:v>
                </c:pt>
                <c:pt idx="7">
                  <c:v>1.1755500000000001</c:v>
                </c:pt>
                <c:pt idx="8">
                  <c:v>1.1870750000000001</c:v>
                </c:pt>
                <c:pt idx="9">
                  <c:v>1.1986000000000001</c:v>
                </c:pt>
                <c:pt idx="10">
                  <c:v>1.2101250000000001</c:v>
                </c:pt>
              </c:numCache>
            </c:numRef>
          </c:cat>
          <c:val>
            <c:numRef>
              <c:f>'FX Hedge Model'!$B$18:$B$28</c:f>
              <c:numCache>
                <c:formatCode>General</c:formatCode>
                <c:ptCount val="11"/>
                <c:pt idx="0">
                  <c:v>4270012.5</c:v>
                </c:pt>
                <c:pt idx="1">
                  <c:v>4314960</c:v>
                </c:pt>
                <c:pt idx="2">
                  <c:v>4359907.5</c:v>
                </c:pt>
                <c:pt idx="3">
                  <c:v>4404855</c:v>
                </c:pt>
                <c:pt idx="4">
                  <c:v>4449802.5</c:v>
                </c:pt>
                <c:pt idx="5">
                  <c:v>4494750</c:v>
                </c:pt>
                <c:pt idx="6">
                  <c:v>4539697.5</c:v>
                </c:pt>
                <c:pt idx="7">
                  <c:v>4584645</c:v>
                </c:pt>
                <c:pt idx="8">
                  <c:v>4629592.5</c:v>
                </c:pt>
                <c:pt idx="9">
                  <c:v>4674540</c:v>
                </c:pt>
                <c:pt idx="10">
                  <c:v>4719487.5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A7-CE43-8EF5-2FC44AE8E331}"/>
            </c:ext>
          </c:extLst>
        </c:ser>
        <c:ser>
          <c:idx val="1"/>
          <c:order val="1"/>
          <c:tx>
            <c:strRef>
              <c:f>'FX Hedge Model'!$C$17</c:f>
              <c:strCache>
                <c:ptCount val="1"/>
                <c:pt idx="0">
                  <c:v>Forward USD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'FX Hedge Model'!$A$18:$A$28</c:f>
              <c:numCache>
                <c:formatCode>General</c:formatCode>
                <c:ptCount val="11"/>
                <c:pt idx="0">
                  <c:v>1.094875</c:v>
                </c:pt>
                <c:pt idx="1">
                  <c:v>1.1064000000000001</c:v>
                </c:pt>
                <c:pt idx="2">
                  <c:v>1.1179250000000001</c:v>
                </c:pt>
                <c:pt idx="3">
                  <c:v>1.1294500000000001</c:v>
                </c:pt>
                <c:pt idx="4">
                  <c:v>1.1409750000000001</c:v>
                </c:pt>
                <c:pt idx="5">
                  <c:v>1.1525000000000001</c:v>
                </c:pt>
                <c:pt idx="6">
                  <c:v>1.1640250000000001</c:v>
                </c:pt>
                <c:pt idx="7">
                  <c:v>1.1755500000000001</c:v>
                </c:pt>
                <c:pt idx="8">
                  <c:v>1.1870750000000001</c:v>
                </c:pt>
                <c:pt idx="9">
                  <c:v>1.1986000000000001</c:v>
                </c:pt>
                <c:pt idx="10">
                  <c:v>1.2101250000000001</c:v>
                </c:pt>
              </c:numCache>
            </c:numRef>
          </c:cat>
          <c:val>
            <c:numRef>
              <c:f>'FX Hedge Model'!$C$18:$C$28</c:f>
              <c:numCache>
                <c:formatCode>General</c:formatCode>
                <c:ptCount val="11"/>
                <c:pt idx="0">
                  <c:v>4241250</c:v>
                </c:pt>
                <c:pt idx="1">
                  <c:v>4241250</c:v>
                </c:pt>
                <c:pt idx="2">
                  <c:v>4241250</c:v>
                </c:pt>
                <c:pt idx="3">
                  <c:v>4241250</c:v>
                </c:pt>
                <c:pt idx="4">
                  <c:v>4241250</c:v>
                </c:pt>
                <c:pt idx="5">
                  <c:v>4241250</c:v>
                </c:pt>
                <c:pt idx="6">
                  <c:v>4241250</c:v>
                </c:pt>
                <c:pt idx="7">
                  <c:v>4241250</c:v>
                </c:pt>
                <c:pt idx="8">
                  <c:v>4241250</c:v>
                </c:pt>
                <c:pt idx="9">
                  <c:v>4241250</c:v>
                </c:pt>
                <c:pt idx="10">
                  <c:v>4241250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A7-CE43-8EF5-2FC44AE8E331}"/>
            </c:ext>
          </c:extLst>
        </c:ser>
        <c:ser>
          <c:idx val="2"/>
          <c:order val="2"/>
          <c:tx>
            <c:strRef>
              <c:f>'FX Hedge Model'!$D$17</c:f>
              <c:strCache>
                <c:ptCount val="1"/>
                <c:pt idx="0">
                  <c:v>MM USD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'FX Hedge Model'!$A$18:$A$28</c:f>
              <c:numCache>
                <c:formatCode>General</c:formatCode>
                <c:ptCount val="11"/>
                <c:pt idx="0">
                  <c:v>1.094875</c:v>
                </c:pt>
                <c:pt idx="1">
                  <c:v>1.1064000000000001</c:v>
                </c:pt>
                <c:pt idx="2">
                  <c:v>1.1179250000000001</c:v>
                </c:pt>
                <c:pt idx="3">
                  <c:v>1.1294500000000001</c:v>
                </c:pt>
                <c:pt idx="4">
                  <c:v>1.1409750000000001</c:v>
                </c:pt>
                <c:pt idx="5">
                  <c:v>1.1525000000000001</c:v>
                </c:pt>
                <c:pt idx="6">
                  <c:v>1.1640250000000001</c:v>
                </c:pt>
                <c:pt idx="7">
                  <c:v>1.1755500000000001</c:v>
                </c:pt>
                <c:pt idx="8">
                  <c:v>1.1870750000000001</c:v>
                </c:pt>
                <c:pt idx="9">
                  <c:v>1.1986000000000001</c:v>
                </c:pt>
                <c:pt idx="10">
                  <c:v>1.2101250000000001</c:v>
                </c:pt>
              </c:numCache>
            </c:numRef>
          </c:cat>
          <c:val>
            <c:numRef>
              <c:f>'FX Hedge Model'!$D$18:$D$28</c:f>
              <c:numCache>
                <c:formatCode>General</c:formatCode>
                <c:ptCount val="11"/>
                <c:pt idx="0">
                  <c:v>4532385.4665071769</c:v>
                </c:pt>
                <c:pt idx="1">
                  <c:v>4532385.4665071769</c:v>
                </c:pt>
                <c:pt idx="2">
                  <c:v>4532385.4665071769</c:v>
                </c:pt>
                <c:pt idx="3">
                  <c:v>4532385.4665071769</c:v>
                </c:pt>
                <c:pt idx="4">
                  <c:v>4532385.4665071769</c:v>
                </c:pt>
                <c:pt idx="5">
                  <c:v>4532385.4665071769</c:v>
                </c:pt>
                <c:pt idx="6">
                  <c:v>4532385.4665071769</c:v>
                </c:pt>
                <c:pt idx="7">
                  <c:v>4532385.4665071769</c:v>
                </c:pt>
                <c:pt idx="8">
                  <c:v>4532385.4665071769</c:v>
                </c:pt>
                <c:pt idx="9">
                  <c:v>4532385.4665071769</c:v>
                </c:pt>
                <c:pt idx="10">
                  <c:v>4532385.4665071769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3A7-CE43-8EF5-2FC44AE8E331}"/>
            </c:ext>
          </c:extLst>
        </c:ser>
        <c:ser>
          <c:idx val="3"/>
          <c:order val="3"/>
          <c:tx>
            <c:strRef>
              <c:f>'FX Hedge Model'!$E$17</c:f>
              <c:strCache>
                <c:ptCount val="1"/>
                <c:pt idx="0">
                  <c:v>Put Hedge USD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'FX Hedge Model'!$A$18:$A$28</c:f>
              <c:numCache>
                <c:formatCode>General</c:formatCode>
                <c:ptCount val="11"/>
                <c:pt idx="0">
                  <c:v>1.094875</c:v>
                </c:pt>
                <c:pt idx="1">
                  <c:v>1.1064000000000001</c:v>
                </c:pt>
                <c:pt idx="2">
                  <c:v>1.1179250000000001</c:v>
                </c:pt>
                <c:pt idx="3">
                  <c:v>1.1294500000000001</c:v>
                </c:pt>
                <c:pt idx="4">
                  <c:v>1.1409750000000001</c:v>
                </c:pt>
                <c:pt idx="5">
                  <c:v>1.1525000000000001</c:v>
                </c:pt>
                <c:pt idx="6">
                  <c:v>1.1640250000000001</c:v>
                </c:pt>
                <c:pt idx="7">
                  <c:v>1.1755500000000001</c:v>
                </c:pt>
                <c:pt idx="8">
                  <c:v>1.1870750000000001</c:v>
                </c:pt>
                <c:pt idx="9">
                  <c:v>1.1986000000000001</c:v>
                </c:pt>
                <c:pt idx="10">
                  <c:v>1.2101250000000001</c:v>
                </c:pt>
              </c:numCache>
            </c:numRef>
          </c:cat>
          <c:val>
            <c:numRef>
              <c:f>'FX Hedge Model'!$E$18:$E$28</c:f>
              <c:numCache>
                <c:formatCode>General</c:formatCode>
                <c:ptCount val="11"/>
                <c:pt idx="0">
                  <c:v>4436250</c:v>
                </c:pt>
                <c:pt idx="1">
                  <c:v>4436250</c:v>
                </c:pt>
                <c:pt idx="2">
                  <c:v>4436250</c:v>
                </c:pt>
                <c:pt idx="3">
                  <c:v>4436250</c:v>
                </c:pt>
                <c:pt idx="4">
                  <c:v>4436250</c:v>
                </c:pt>
                <c:pt idx="5">
                  <c:v>4436250</c:v>
                </c:pt>
                <c:pt idx="6">
                  <c:v>4481197.5</c:v>
                </c:pt>
                <c:pt idx="7">
                  <c:v>4526145</c:v>
                </c:pt>
                <c:pt idx="8">
                  <c:v>4571092.5</c:v>
                </c:pt>
                <c:pt idx="9">
                  <c:v>4616040</c:v>
                </c:pt>
                <c:pt idx="10">
                  <c:v>4660987.5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3A7-CE43-8EF5-2FC44AE8E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Ending Spot Rate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 Proceeds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zoomScale="75" workbookViewId="0">
      <selection activeCell="H6" sqref="H6"/>
    </sheetView>
  </sheetViews>
  <sheetFormatPr baseColWidth="10" defaultColWidth="8.83203125" defaultRowHeight="15" x14ac:dyDescent="0.2"/>
  <cols>
    <col min="1" max="1" width="33.6640625" customWidth="1"/>
    <col min="2" max="2" width="13.83203125" customWidth="1"/>
    <col min="3" max="3" width="16.33203125" customWidth="1"/>
    <col min="4" max="4" width="25.83203125" customWidth="1"/>
    <col min="5" max="5" width="13.83203125" customWidth="1"/>
    <col min="7" max="7" width="26.6640625" customWidth="1"/>
  </cols>
  <sheetData>
    <row r="1" spans="1:8" ht="19" x14ac:dyDescent="0.25">
      <c r="A1" s="1" t="s">
        <v>0</v>
      </c>
    </row>
    <row r="3" spans="1:8" x14ac:dyDescent="0.2">
      <c r="A3" s="2" t="s">
        <v>1</v>
      </c>
      <c r="D3" s="2" t="s">
        <v>2</v>
      </c>
      <c r="G3" s="2" t="s">
        <v>3</v>
      </c>
    </row>
    <row r="4" spans="1:8" x14ac:dyDescent="0.2">
      <c r="A4" t="s">
        <v>4</v>
      </c>
      <c r="B4" s="3">
        <v>3900000</v>
      </c>
      <c r="D4" t="s">
        <v>5</v>
      </c>
      <c r="E4" s="4">
        <f>B4*B6</f>
        <v>4241250</v>
      </c>
      <c r="G4" t="s">
        <v>6</v>
      </c>
      <c r="H4" s="5">
        <f>E4</f>
        <v>4241250</v>
      </c>
    </row>
    <row r="5" spans="1:8" x14ac:dyDescent="0.2">
      <c r="A5" t="s">
        <v>7</v>
      </c>
      <c r="B5" s="3">
        <v>1.1525000000000001</v>
      </c>
      <c r="G5" t="s">
        <v>8</v>
      </c>
      <c r="H5" s="5">
        <f>E9</f>
        <v>4532385.4665071769</v>
      </c>
    </row>
    <row r="6" spans="1:8" x14ac:dyDescent="0.2">
      <c r="A6" t="s">
        <v>9</v>
      </c>
      <c r="B6" s="3">
        <v>1.0874999999999999</v>
      </c>
      <c r="D6" s="2" t="s">
        <v>10</v>
      </c>
      <c r="G6" t="s">
        <v>11</v>
      </c>
      <c r="H6" s="5"/>
    </row>
    <row r="7" spans="1:8" x14ac:dyDescent="0.2">
      <c r="A7" t="s">
        <v>12</v>
      </c>
      <c r="B7" s="3">
        <v>5.3749999999999999E-2</v>
      </c>
      <c r="D7" t="s">
        <v>13</v>
      </c>
      <c r="E7" s="4">
        <f>B4/(1+B8*B13/365)</f>
        <v>3732057.4162679426</v>
      </c>
    </row>
    <row r="8" spans="1:8" x14ac:dyDescent="0.2">
      <c r="A8" t="s">
        <v>14</v>
      </c>
      <c r="B8" s="3">
        <v>4.4999999999999998E-2</v>
      </c>
      <c r="D8" t="s">
        <v>15</v>
      </c>
      <c r="E8" s="4">
        <f>E7*B5</f>
        <v>4301196.172248804</v>
      </c>
    </row>
    <row r="9" spans="1:8" x14ac:dyDescent="0.2">
      <c r="A9" t="s">
        <v>16</v>
      </c>
      <c r="B9" s="3">
        <v>1.1525000000000001</v>
      </c>
      <c r="D9" t="s">
        <v>17</v>
      </c>
      <c r="E9" s="4">
        <f>E8*(1+B7*B13/365)</f>
        <v>4532385.4665071769</v>
      </c>
    </row>
    <row r="10" spans="1:8" x14ac:dyDescent="0.2">
      <c r="A10" t="s">
        <v>18</v>
      </c>
      <c r="B10" s="3">
        <v>1.1525000000000001</v>
      </c>
    </row>
    <row r="11" spans="1:8" x14ac:dyDescent="0.2">
      <c r="A11" t="s">
        <v>19</v>
      </c>
      <c r="B11" s="3">
        <v>1.4999999999999999E-2</v>
      </c>
      <c r="D11" s="2" t="s">
        <v>20</v>
      </c>
    </row>
    <row r="12" spans="1:8" x14ac:dyDescent="0.2">
      <c r="A12" t="s">
        <v>21</v>
      </c>
      <c r="B12" s="3">
        <v>1.7999999999999999E-2</v>
      </c>
      <c r="D12" t="s">
        <v>22</v>
      </c>
      <c r="E12" s="4">
        <f>B4*B11</f>
        <v>58500</v>
      </c>
    </row>
    <row r="13" spans="1:8" x14ac:dyDescent="0.2">
      <c r="A13" t="s">
        <v>23</v>
      </c>
      <c r="B13" s="3">
        <v>365</v>
      </c>
      <c r="D13" t="s">
        <v>24</v>
      </c>
      <c r="E13" s="4">
        <f>B4*B12</f>
        <v>70200</v>
      </c>
    </row>
    <row r="16" spans="1:8" x14ac:dyDescent="0.2">
      <c r="A16" s="2" t="s">
        <v>25</v>
      </c>
    </row>
    <row r="17" spans="1:5" x14ac:dyDescent="0.2">
      <c r="A17" s="2" t="s">
        <v>26</v>
      </c>
      <c r="B17" s="2" t="s">
        <v>27</v>
      </c>
      <c r="C17" s="2" t="s">
        <v>28</v>
      </c>
      <c r="D17" s="2" t="s">
        <v>29</v>
      </c>
      <c r="E17" s="2" t="s">
        <v>30</v>
      </c>
    </row>
    <row r="18" spans="1:5" x14ac:dyDescent="0.2">
      <c r="A18">
        <f>B5*(0.95+0.01*0)</f>
        <v>1.094875</v>
      </c>
      <c r="B18">
        <f>B4*A18</f>
        <v>4270012.5</v>
      </c>
      <c r="C18">
        <f>$H$4</f>
        <v>4241250</v>
      </c>
      <c r="D18">
        <f>$E$9</f>
        <v>4532385.4665071769</v>
      </c>
      <c r="E18">
        <f>$B$4*MAX($B$9,A18)-$B$11*$B$4</f>
        <v>4436250</v>
      </c>
    </row>
    <row r="19" spans="1:5" x14ac:dyDescent="0.2">
      <c r="A19">
        <f>B5*(0.95+0.01*1)</f>
        <v>1.1064000000000001</v>
      </c>
      <c r="B19">
        <f>B4*A19</f>
        <v>4314960</v>
      </c>
      <c r="C19">
        <f t="shared" ref="C19:C28" si="0">$H$4</f>
        <v>4241250</v>
      </c>
      <c r="D19">
        <f t="shared" ref="D18:D28" si="1">$E$9</f>
        <v>4532385.4665071769</v>
      </c>
      <c r="E19">
        <f>$B$4*MAX($B$9,A19)-$B$11*$B$4</f>
        <v>4436250</v>
      </c>
    </row>
    <row r="20" spans="1:5" x14ac:dyDescent="0.2">
      <c r="A20">
        <f>B5*(0.95+0.01*2)</f>
        <v>1.1179250000000001</v>
      </c>
      <c r="B20">
        <f>B4*A20</f>
        <v>4359907.5</v>
      </c>
      <c r="C20">
        <f t="shared" si="0"/>
        <v>4241250</v>
      </c>
      <c r="D20">
        <f t="shared" si="1"/>
        <v>4532385.4665071769</v>
      </c>
      <c r="E20">
        <f t="shared" ref="E19:E28" si="2">$B$4*MAX($B$9,A20)-$B$11*$B$4</f>
        <v>4436250</v>
      </c>
    </row>
    <row r="21" spans="1:5" x14ac:dyDescent="0.2">
      <c r="A21">
        <f>B5*(0.95+0.01*3)</f>
        <v>1.1294500000000001</v>
      </c>
      <c r="B21">
        <f>B4*A21</f>
        <v>4404855</v>
      </c>
      <c r="C21">
        <f t="shared" si="0"/>
        <v>4241250</v>
      </c>
      <c r="D21">
        <f t="shared" si="1"/>
        <v>4532385.4665071769</v>
      </c>
      <c r="E21">
        <f t="shared" si="2"/>
        <v>4436250</v>
      </c>
    </row>
    <row r="22" spans="1:5" x14ac:dyDescent="0.2">
      <c r="A22">
        <f>B5*(0.95+0.01*4)</f>
        <v>1.1409750000000001</v>
      </c>
      <c r="B22">
        <f>B4*A22</f>
        <v>4449802.5</v>
      </c>
      <c r="C22">
        <f t="shared" si="0"/>
        <v>4241250</v>
      </c>
      <c r="D22">
        <f t="shared" si="1"/>
        <v>4532385.4665071769</v>
      </c>
      <c r="E22">
        <f t="shared" si="2"/>
        <v>4436250</v>
      </c>
    </row>
    <row r="23" spans="1:5" x14ac:dyDescent="0.2">
      <c r="A23">
        <f>B5*(0.95+0.01*5)</f>
        <v>1.1525000000000001</v>
      </c>
      <c r="B23">
        <f>B4*A23</f>
        <v>4494750</v>
      </c>
      <c r="C23">
        <f t="shared" si="0"/>
        <v>4241250</v>
      </c>
      <c r="D23">
        <f t="shared" si="1"/>
        <v>4532385.4665071769</v>
      </c>
      <c r="E23">
        <f t="shared" si="2"/>
        <v>4436250</v>
      </c>
    </row>
    <row r="24" spans="1:5" x14ac:dyDescent="0.2">
      <c r="A24">
        <f>B5*(0.95+0.01*6)</f>
        <v>1.1640250000000001</v>
      </c>
      <c r="B24">
        <f>B4*A24</f>
        <v>4539697.5</v>
      </c>
      <c r="C24">
        <f t="shared" si="0"/>
        <v>4241250</v>
      </c>
      <c r="D24">
        <f t="shared" si="1"/>
        <v>4532385.4665071769</v>
      </c>
      <c r="E24">
        <f t="shared" si="2"/>
        <v>4481197.5</v>
      </c>
    </row>
    <row r="25" spans="1:5" x14ac:dyDescent="0.2">
      <c r="A25">
        <f>B5*(0.95+0.01*7)</f>
        <v>1.1755500000000001</v>
      </c>
      <c r="B25">
        <f>B4*A25</f>
        <v>4584645</v>
      </c>
      <c r="C25">
        <f t="shared" si="0"/>
        <v>4241250</v>
      </c>
      <c r="D25">
        <f t="shared" si="1"/>
        <v>4532385.4665071769</v>
      </c>
      <c r="E25">
        <f t="shared" si="2"/>
        <v>4526145</v>
      </c>
    </row>
    <row r="26" spans="1:5" x14ac:dyDescent="0.2">
      <c r="A26">
        <f>B5*(0.95+0.01*8)</f>
        <v>1.1870750000000001</v>
      </c>
      <c r="B26">
        <f>B4*A26</f>
        <v>4629592.5</v>
      </c>
      <c r="C26">
        <f t="shared" si="0"/>
        <v>4241250</v>
      </c>
      <c r="D26">
        <f t="shared" si="1"/>
        <v>4532385.4665071769</v>
      </c>
      <c r="E26">
        <f t="shared" si="2"/>
        <v>4571092.5</v>
      </c>
    </row>
    <row r="27" spans="1:5" x14ac:dyDescent="0.2">
      <c r="A27">
        <f>B5*(0.95+0.01*9)</f>
        <v>1.1986000000000001</v>
      </c>
      <c r="B27">
        <f>B4*A27</f>
        <v>4674540</v>
      </c>
      <c r="C27">
        <f t="shared" si="0"/>
        <v>4241250</v>
      </c>
      <c r="D27">
        <f t="shared" si="1"/>
        <v>4532385.4665071769</v>
      </c>
      <c r="E27">
        <f t="shared" si="2"/>
        <v>4616040</v>
      </c>
    </row>
    <row r="28" spans="1:5" x14ac:dyDescent="0.2">
      <c r="A28">
        <f>B5*(0.95+0.01*10)</f>
        <v>1.2101250000000001</v>
      </c>
      <c r="B28">
        <f>B4*A28</f>
        <v>4719487.5</v>
      </c>
      <c r="C28">
        <f t="shared" si="0"/>
        <v>4241250</v>
      </c>
      <c r="D28">
        <f t="shared" si="1"/>
        <v>4532385.4665071769</v>
      </c>
      <c r="E28">
        <f t="shared" si="2"/>
        <v>4660987.5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I10" sqref="I10"/>
    </sheetView>
  </sheetViews>
  <sheetFormatPr baseColWidth="10" defaultColWidth="8.83203125" defaultRowHeight="15" x14ac:dyDescent="0.2"/>
  <sheetData>
    <row r="1" spans="1:7" ht="19" x14ac:dyDescent="0.25">
      <c r="A1" s="1" t="s">
        <v>31</v>
      </c>
    </row>
    <row r="3" spans="1:7" ht="21" x14ac:dyDescent="0.25">
      <c r="A3" s="6" t="s">
        <v>32</v>
      </c>
      <c r="B3" s="7"/>
      <c r="C3" s="7"/>
      <c r="D3" s="7"/>
      <c r="E3" s="7"/>
      <c r="F3" s="7"/>
      <c r="G3" s="7"/>
    </row>
    <row r="4" spans="1:7" ht="21" x14ac:dyDescent="0.25">
      <c r="A4" s="6"/>
      <c r="B4" s="6" t="s">
        <v>33</v>
      </c>
      <c r="C4" s="7"/>
      <c r="D4" s="7"/>
      <c r="E4" s="7"/>
      <c r="F4" s="7"/>
      <c r="G4" s="7"/>
    </row>
    <row r="5" spans="1:7" ht="21" x14ac:dyDescent="0.25">
      <c r="A5" s="6"/>
      <c r="B5" s="6" t="s">
        <v>34</v>
      </c>
      <c r="C5" s="7"/>
      <c r="D5" s="7"/>
      <c r="E5" s="7"/>
      <c r="F5" s="7"/>
      <c r="G5" s="7"/>
    </row>
    <row r="6" spans="1:7" ht="21" x14ac:dyDescent="0.25">
      <c r="A6" s="6"/>
      <c r="B6" s="6" t="s">
        <v>35</v>
      </c>
      <c r="C6" s="7"/>
      <c r="D6" s="7"/>
      <c r="E6" s="7"/>
      <c r="F6" s="7"/>
      <c r="G6" s="7"/>
    </row>
    <row r="7" spans="1:7" ht="21" x14ac:dyDescent="0.25">
      <c r="A7" s="6"/>
      <c r="B7" s="6" t="s">
        <v>36</v>
      </c>
      <c r="C7" s="7"/>
      <c r="D7" s="7"/>
      <c r="E7" s="7"/>
      <c r="F7" s="7"/>
      <c r="G7" s="7"/>
    </row>
    <row r="8" spans="1:7" ht="21" x14ac:dyDescent="0.25">
      <c r="A8" s="6"/>
      <c r="B8" s="6" t="s">
        <v>37</v>
      </c>
      <c r="C8" s="7"/>
      <c r="D8" s="7"/>
      <c r="E8" s="7"/>
      <c r="F8" s="7"/>
      <c r="G8" s="7"/>
    </row>
    <row r="9" spans="1:7" ht="21" x14ac:dyDescent="0.25">
      <c r="A9" s="6"/>
      <c r="B9" s="6" t="s">
        <v>38</v>
      </c>
      <c r="C9" s="7"/>
      <c r="D9" s="7"/>
      <c r="E9" s="7"/>
      <c r="F9" s="7"/>
      <c r="G9" s="7"/>
    </row>
    <row r="10" spans="1:7" ht="21" x14ac:dyDescent="0.25">
      <c r="A10" s="6"/>
      <c r="B10" s="6" t="s">
        <v>39</v>
      </c>
      <c r="C10" s="7"/>
      <c r="D10" s="7"/>
      <c r="E10" s="7"/>
      <c r="F10" s="7"/>
      <c r="G10" s="7"/>
    </row>
    <row r="11" spans="1:7" x14ac:dyDescent="0.2">
      <c r="A11" s="7"/>
      <c r="B11" s="7"/>
      <c r="C11" s="7"/>
      <c r="D11" s="7"/>
      <c r="E11" s="7"/>
      <c r="F11" s="7"/>
      <c r="G11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FX Hedge Model</vt:lpstr>
      <vt:lpstr>Notes &amp; Assumptions</vt:lpstr>
      <vt:lpstr>F0_in</vt:lpstr>
      <vt:lpstr>FC_AMT</vt:lpstr>
      <vt:lpstr>K_CALL</vt:lpstr>
      <vt:lpstr>K_PUT</vt:lpstr>
      <vt:lpstr>PREM_CALL</vt:lpstr>
      <vt:lpstr>PREM_PUT</vt:lpstr>
      <vt:lpstr>R_FC</vt:lpstr>
      <vt:lpstr>R_USD</vt:lpstr>
      <vt:lpstr>S0_in</vt:lpstr>
      <vt:lpstr>T_DAYS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Anahi Teon</cp:lastModifiedBy>
  <dcterms:created xsi:type="dcterms:W3CDTF">2026-04-10T22:45:13Z</dcterms:created>
  <dcterms:modified xsi:type="dcterms:W3CDTF">2026-04-25T03:08:51Z</dcterms:modified>
</cp:coreProperties>
</file>