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nahiteon/Downloads/"/>
    </mc:Choice>
  </mc:AlternateContent>
  <xr:revisionPtr revIDLastSave="0" documentId="8_{0DA09C23-330A-2548-ACC7-11C00E5B99C4}" xr6:coauthVersionLast="47" xr6:coauthVersionMax="47" xr10:uidLastSave="{00000000-0000-0000-0000-000000000000}"/>
  <bookViews>
    <workbookView xWindow="0" yWindow="660" windowWidth="29400" windowHeight="16900" activeTab="1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30" i="2" s="1"/>
  <c r="F21" i="2"/>
  <c r="F22" i="2" s="1"/>
  <c r="F18" i="2"/>
  <c r="F14" i="2"/>
  <c r="C43" i="1"/>
  <c r="E42" i="1"/>
  <c r="H41" i="1"/>
  <c r="C41" i="1"/>
  <c r="C42" i="1" s="1"/>
  <c r="D42" i="1" s="1"/>
  <c r="D40" i="1"/>
  <c r="C40" i="1"/>
  <c r="H40" i="1" s="1"/>
  <c r="H39" i="1"/>
  <c r="D39" i="1"/>
  <c r="E39" i="1" s="1"/>
  <c r="H38" i="1"/>
  <c r="D38" i="1"/>
  <c r="C38" i="1"/>
  <c r="J37" i="1"/>
  <c r="C37" i="1"/>
  <c r="F28" i="1"/>
  <c r="G27" i="1"/>
  <c r="F27" i="1"/>
  <c r="F21" i="1"/>
  <c r="F22" i="1" s="1"/>
  <c r="F23" i="1" s="1"/>
  <c r="F24" i="1" s="1"/>
  <c r="F18" i="1"/>
  <c r="F38" i="1" l="1"/>
  <c r="F34" i="1"/>
  <c r="F45" i="1"/>
  <c r="F41" i="1"/>
  <c r="I39" i="1"/>
  <c r="F36" i="1"/>
  <c r="F44" i="1"/>
  <c r="I38" i="1"/>
  <c r="I37" i="1"/>
  <c r="F43" i="1"/>
  <c r="F42" i="1"/>
  <c r="F37" i="1"/>
  <c r="F33" i="1"/>
  <c r="F40" i="1"/>
  <c r="I40" i="1"/>
  <c r="F39" i="1"/>
  <c r="L39" i="1" s="1"/>
  <c r="F35" i="1"/>
  <c r="I42" i="1"/>
  <c r="F23" i="2"/>
  <c r="F24" i="2" s="1"/>
  <c r="F25" i="2"/>
  <c r="F26" i="2" s="1"/>
  <c r="G40" i="1"/>
  <c r="J36" i="1"/>
  <c r="J43" i="1"/>
  <c r="J39" i="1"/>
  <c r="J38" i="1"/>
  <c r="G38" i="1" s="1"/>
  <c r="E40" i="1"/>
  <c r="J42" i="1"/>
  <c r="J41" i="1"/>
  <c r="C44" i="1"/>
  <c r="H43" i="1"/>
  <c r="G39" i="1"/>
  <c r="D43" i="1"/>
  <c r="J44" i="1"/>
  <c r="H37" i="1"/>
  <c r="D37" i="1"/>
  <c r="E38" i="1"/>
  <c r="J40" i="1"/>
  <c r="G42" i="1"/>
  <c r="L42" i="1" s="1"/>
  <c r="C36" i="1"/>
  <c r="D41" i="1"/>
  <c r="I41" i="1" s="1"/>
  <c r="H42" i="1"/>
  <c r="E43" i="1" l="1"/>
  <c r="G43" i="1"/>
  <c r="K39" i="1"/>
  <c r="C35" i="1"/>
  <c r="D36" i="1"/>
  <c r="H36" i="1"/>
  <c r="E37" i="1"/>
  <c r="G37" i="1"/>
  <c r="E41" i="1"/>
  <c r="G41" i="1"/>
  <c r="K40" i="1"/>
  <c r="L40" i="1"/>
  <c r="K42" i="1"/>
  <c r="H44" i="1"/>
  <c r="C45" i="1"/>
  <c r="D44" i="1"/>
  <c r="K38" i="1"/>
  <c r="L38" i="1"/>
  <c r="I43" i="1"/>
  <c r="L41" i="1" l="1"/>
  <c r="K41" i="1"/>
  <c r="L37" i="1"/>
  <c r="K37" i="1"/>
  <c r="L43" i="1"/>
  <c r="K43" i="1"/>
  <c r="D35" i="1"/>
  <c r="C34" i="1"/>
  <c r="H35" i="1"/>
  <c r="J35" i="1"/>
  <c r="D45" i="1"/>
  <c r="H45" i="1"/>
  <c r="J45" i="1"/>
  <c r="G36" i="1"/>
  <c r="E36" i="1"/>
  <c r="I36" i="1"/>
  <c r="G44" i="1"/>
  <c r="E44" i="1"/>
  <c r="I44" i="1"/>
  <c r="E45" i="1" l="1"/>
  <c r="G45" i="1"/>
  <c r="I45" i="1"/>
  <c r="K44" i="1"/>
  <c r="L44" i="1"/>
  <c r="H34" i="1"/>
  <c r="C33" i="1"/>
  <c r="D34" i="1"/>
  <c r="J34" i="1"/>
  <c r="L36" i="1"/>
  <c r="K36" i="1"/>
  <c r="E35" i="1"/>
  <c r="G35" i="1"/>
  <c r="I35" i="1"/>
  <c r="L45" i="1" l="1"/>
  <c r="K45" i="1"/>
  <c r="L35" i="1"/>
  <c r="K35" i="1"/>
  <c r="G34" i="1"/>
  <c r="E34" i="1"/>
  <c r="I34" i="1"/>
  <c r="H33" i="1"/>
  <c r="D33" i="1"/>
  <c r="J33" i="1"/>
  <c r="G33" i="1" s="1"/>
  <c r="F29" i="1" s="1"/>
  <c r="E33" i="1" l="1"/>
  <c r="I33" i="1"/>
  <c r="K34" i="1"/>
  <c r="L34" i="1"/>
  <c r="L33" i="1" l="1"/>
  <c r="K33" i="1"/>
  <c r="F31" i="2" l="1"/>
</calcChain>
</file>

<file path=xl/sharedStrings.xml><?xml version="1.0" encoding="utf-8"?>
<sst xmlns="http://schemas.openxmlformats.org/spreadsheetml/2006/main" count="80" uniqueCount="54">
  <si>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Receivables</t>
    </r>
  </si>
  <si>
    <r>
      <rPr>
        <sz val="18"/>
        <color theme="1"/>
        <rFont val="Arial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</si>
  <si>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</si>
  <si>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</si>
  <si>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</si>
  <si>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</si>
  <si>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</si>
  <si>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</si>
  <si>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</si>
  <si>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</si>
  <si>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</si>
  <si>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</si>
  <si>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</si>
  <si>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</si>
  <si>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</si>
  <si>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</si>
  <si>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</si>
  <si>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</si>
  <si>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</si>
  <si>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</si>
  <si>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Sell</t>
    </r>
    <r>
      <rPr>
        <sz val="18"/>
        <color theme="1"/>
        <rFont val="Arial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</si>
  <si>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</si>
  <si>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</si>
  <si>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</si>
  <si>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</si>
  <si>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</si>
  <si>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</si>
  <si>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</si>
  <si>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</si>
  <si>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</si>
  <si>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</si>
  <si>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</si>
  <si>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</si>
  <si>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</si>
  <si>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</si>
  <si>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</si>
  <si>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</si>
  <si>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</si>
  <si>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</si>
  <si>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</si>
  <si>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</si>
  <si>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</si>
  <si>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Payables</t>
    </r>
  </si>
  <si>
    <r>
      <rPr>
        <sz val="18"/>
        <color theme="1"/>
        <rFont val="Arial"/>
      </rPr>
      <t xml:space="preserve">Suppose Boeing imported a Rolls-Royce jet engine for </t>
    </r>
    <r>
      <rPr>
        <b/>
        <sz val="18"/>
        <color theme="1"/>
        <rFont val="Arial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</si>
  <si>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</si>
  <si>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</si>
  <si>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Buy</t>
    </r>
    <r>
      <rPr>
        <sz val="18"/>
        <color theme="1"/>
        <rFont val="Arial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</si>
  <si>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</si>
  <si>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</si>
  <si>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</si>
  <si>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</si>
  <si>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</si>
  <si>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call</t>
    </r>
  </si>
  <si>
    <t>&lt;-- HIGHEST: variable amount depends on where GBP/USD spot ends up in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</si>
</sst>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8"/>
      <color rgb="FF000000"/>
      <name val="Inconsolata"/>
    </font>
    <font>
      <u/>
      <sz val="18"/>
      <color theme="1"/>
      <name val="Arial"/>
      <scheme val="minor"/>
    </font>
    <font>
      <b/>
      <sz val="18"/>
      <color rgb="FF0000FF"/>
      <name val="Arial"/>
      <scheme val="minor"/>
    </font>
    <font>
      <sz val="18"/>
      <color theme="1"/>
      <name val="Arial"/>
    </font>
    <font>
      <sz val="18"/>
      <color rgb="FF0000FF"/>
      <name val="Arial"/>
      <scheme val="minor"/>
    </font>
    <font>
      <sz val="22"/>
      <color theme="1"/>
      <name val="Arial"/>
      <scheme val="minor"/>
    </font>
    <font>
      <b/>
      <sz val="18"/>
      <color theme="1"/>
      <name val="Arial"/>
    </font>
    <font>
      <b/>
      <u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5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166" fontId="2" fillId="0" borderId="0" xfId="0" applyNumberFormat="1" applyFont="1" applyFill="1" applyBorder="1" applyAlignment="1">
      <alignment horizontal="center" vertical="top"/>
    </xf>
    <xf numFmtId="165" fontId="1" fillId="0" borderId="0" xfId="0" applyNumberFormat="1" applyFont="1" applyFill="1" applyBorder="1" applyAlignment="1">
      <alignment vertical="top"/>
    </xf>
    <xf numFmtId="166" fontId="8" fillId="0" borderId="0" xfId="0" applyNumberFormat="1" applyFont="1" applyFill="1" applyBorder="1" applyAlignment="1">
      <alignment vertical="top"/>
    </xf>
    <xf numFmtId="166" fontId="8" fillId="0" borderId="0" xfId="0" applyNumberFormat="1" applyFont="1" applyFill="1" applyBorder="1"/>
    <xf numFmtId="0" fontId="8" fillId="0" borderId="0" xfId="0" applyFont="1" applyFill="1" applyBorder="1" applyAlignment="1">
      <alignment horizontal="center" vertical="top"/>
    </xf>
    <xf numFmtId="166" fontId="8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zoomScale="87" workbookViewId="0"/>
  </sheetViews>
  <sheetFormatPr baseColWidth="10" defaultColWidth="12.6640625" defaultRowHeight="15.75" customHeight="1" x14ac:dyDescent="0.15"/>
  <cols>
    <col min="1" max="1" width="3" customWidth="1"/>
    <col min="2" max="2" width="4.5" customWidth="1"/>
    <col min="3" max="3" width="43.6640625" customWidth="1"/>
    <col min="4" max="4" width="33.5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1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15">
      <c r="A3" s="1"/>
      <c r="B3" s="2"/>
      <c r="C3" s="93" t="s">
        <v>1</v>
      </c>
      <c r="D3" s="88"/>
      <c r="E3" s="88"/>
      <c r="F3" s="88"/>
      <c r="G3" s="88"/>
      <c r="H3" s="88"/>
      <c r="I3" s="88"/>
      <c r="J3" s="8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.75" customHeight="1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5.75" customHeight="1" x14ac:dyDescent="0.25">
      <c r="A5" s="1"/>
      <c r="B5" s="4"/>
      <c r="C5" s="94" t="s">
        <v>2</v>
      </c>
      <c r="D5" s="95"/>
      <c r="E5" s="95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.75" customHeight="1" x14ac:dyDescent="0.3">
      <c r="A6" s="1"/>
      <c r="B6" s="4"/>
      <c r="C6" s="10" t="s">
        <v>5</v>
      </c>
      <c r="D6" s="11"/>
      <c r="E6" s="11"/>
      <c r="F6" s="12">
        <v>10000000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.75" customHeight="1" x14ac:dyDescent="0.3">
      <c r="A7" s="1"/>
      <c r="B7" s="4"/>
      <c r="C7" s="10" t="s">
        <v>7</v>
      </c>
      <c r="D7" s="16"/>
      <c r="E7" s="16"/>
      <c r="F7" s="17">
        <v>1.5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.75" customHeight="1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.75" customHeight="1" x14ac:dyDescent="0.15">
      <c r="A9" s="1"/>
      <c r="B9" s="4"/>
      <c r="C9" s="10" t="s">
        <v>11</v>
      </c>
      <c r="D9" s="21"/>
      <c r="E9" s="21"/>
      <c r="F9" s="24">
        <v>6.0999999999999999E-2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15">
      <c r="A10" s="1"/>
      <c r="B10" s="4"/>
      <c r="C10" s="10" t="s">
        <v>12</v>
      </c>
      <c r="D10" s="21"/>
      <c r="E10" s="21"/>
      <c r="F10" s="24">
        <v>0.09</v>
      </c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15">
      <c r="A12" s="1"/>
      <c r="B12" s="4"/>
      <c r="C12" s="10" t="s">
        <v>15</v>
      </c>
      <c r="D12" s="16"/>
      <c r="E12" s="16"/>
      <c r="F12" s="17">
        <v>1.46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.75" customHeight="1" x14ac:dyDescent="0.25">
      <c r="A14" s="1"/>
      <c r="B14" s="4"/>
      <c r="C14" s="28" t="s">
        <v>17</v>
      </c>
      <c r="D14" s="29"/>
      <c r="E14" s="29"/>
      <c r="F14" s="30">
        <v>1.46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.75" customHeight="1" x14ac:dyDescent="0.25">
      <c r="A15" s="1"/>
      <c r="B15" s="4"/>
      <c r="C15" s="31" t="s">
        <v>18</v>
      </c>
      <c r="D15" s="32"/>
      <c r="E15" s="32"/>
      <c r="F15" s="33">
        <v>0.02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 x14ac:dyDescent="0.25">
      <c r="A17" s="1"/>
      <c r="B17" s="4"/>
      <c r="C17" s="96" t="s">
        <v>19</v>
      </c>
      <c r="D17" s="97"/>
      <c r="E17" s="97"/>
      <c r="F17" s="97"/>
      <c r="G17" s="97"/>
      <c r="H17" s="97"/>
      <c r="I17" s="97"/>
      <c r="J17" s="98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.75" customHeight="1" x14ac:dyDescent="0.15">
      <c r="A18" s="1"/>
      <c r="B18" s="4"/>
      <c r="C18" s="99" t="s">
        <v>20</v>
      </c>
      <c r="D18" s="100"/>
      <c r="E18" s="101"/>
      <c r="F18" s="38">
        <f>F6*for_GBPUSD</f>
        <v>14600000</v>
      </c>
      <c r="G18" s="102" t="s">
        <v>21</v>
      </c>
      <c r="H18" s="100"/>
      <c r="I18" s="100"/>
      <c r="J18" s="103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 x14ac:dyDescent="0.15">
      <c r="A20" s="1"/>
      <c r="B20" s="4"/>
      <c r="C20" s="104" t="s">
        <v>22</v>
      </c>
      <c r="D20" s="97"/>
      <c r="E20" s="97"/>
      <c r="F20" s="97"/>
      <c r="G20" s="97"/>
      <c r="H20" s="97"/>
      <c r="I20" s="97"/>
      <c r="J20" s="98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.75" customHeight="1" x14ac:dyDescent="0.15">
      <c r="A21" s="1"/>
      <c r="B21" s="4"/>
      <c r="C21" s="87" t="s">
        <v>23</v>
      </c>
      <c r="D21" s="88"/>
      <c r="E21" s="89"/>
      <c r="F21" s="40">
        <f>F6/(1+F10)</f>
        <v>9174311.926605504</v>
      </c>
      <c r="G21" s="93"/>
      <c r="H21" s="88"/>
      <c r="I21" s="88"/>
      <c r="J21" s="105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.75" customHeight="1" x14ac:dyDescent="0.15">
      <c r="A22" s="1"/>
      <c r="B22" s="4"/>
      <c r="C22" s="87" t="s">
        <v>24</v>
      </c>
      <c r="D22" s="88"/>
      <c r="E22" s="89"/>
      <c r="F22" s="41">
        <f>F21*F7</f>
        <v>13761467.889908256</v>
      </c>
      <c r="G22" s="93"/>
      <c r="H22" s="88"/>
      <c r="I22" s="88"/>
      <c r="J22" s="105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 x14ac:dyDescent="0.15">
      <c r="A23" s="1"/>
      <c r="B23" s="4"/>
      <c r="C23" s="87" t="s">
        <v>25</v>
      </c>
      <c r="D23" s="88"/>
      <c r="E23" s="89"/>
      <c r="F23" s="41">
        <f>F22*(1+F9)</f>
        <v>14600917.431192659</v>
      </c>
      <c r="G23" s="93"/>
      <c r="H23" s="88"/>
      <c r="I23" s="88"/>
      <c r="J23" s="105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 x14ac:dyDescent="0.15">
      <c r="A24" s="1"/>
      <c r="B24" s="4"/>
      <c r="C24" s="42"/>
      <c r="D24" s="43"/>
      <c r="E24" s="43"/>
      <c r="F24" s="38">
        <f>F23</f>
        <v>14600917.431192659</v>
      </c>
      <c r="G24" s="102" t="s">
        <v>21</v>
      </c>
      <c r="H24" s="100"/>
      <c r="I24" s="100"/>
      <c r="J24" s="103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1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15">
      <c r="A26" s="1"/>
      <c r="B26" s="4"/>
      <c r="C26" s="104" t="s">
        <v>26</v>
      </c>
      <c r="D26" s="97"/>
      <c r="E26" s="97"/>
      <c r="F26" s="97"/>
      <c r="G26" s="97"/>
      <c r="H26" s="97"/>
      <c r="I26" s="97"/>
      <c r="J26" s="9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 x14ac:dyDescent="0.25">
      <c r="A27" s="1"/>
      <c r="B27" s="4"/>
      <c r="C27" s="87" t="s">
        <v>27</v>
      </c>
      <c r="D27" s="88"/>
      <c r="E27" s="89"/>
      <c r="F27" s="41">
        <f>-put_price*recievable</f>
        <v>-200000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 x14ac:dyDescent="0.25">
      <c r="A28" s="1"/>
      <c r="B28" s="4"/>
      <c r="C28" s="87" t="s">
        <v>28</v>
      </c>
      <c r="D28" s="88"/>
      <c r="E28" s="89"/>
      <c r="F28" s="41">
        <f>F27*(1+F9)</f>
        <v>-212200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15">
      <c r="A29" s="1"/>
      <c r="B29" s="4"/>
      <c r="C29" s="42"/>
      <c r="D29" s="45"/>
      <c r="E29" s="45"/>
      <c r="F29" s="46">
        <f>MIN(G33:G45)</f>
        <v>14387800</v>
      </c>
      <c r="G29" s="102" t="s">
        <v>29</v>
      </c>
      <c r="H29" s="100"/>
      <c r="I29" s="100"/>
      <c r="J29" s="103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1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15">
      <c r="A31" s="1"/>
      <c r="B31" s="4"/>
      <c r="C31" s="106" t="s">
        <v>30</v>
      </c>
      <c r="D31" s="108" t="s">
        <v>31</v>
      </c>
      <c r="E31" s="109"/>
      <c r="F31" s="109"/>
      <c r="G31" s="110"/>
      <c r="H31" s="111" t="s">
        <v>32</v>
      </c>
      <c r="I31" s="109"/>
      <c r="J31" s="110"/>
      <c r="K31" s="108" t="s">
        <v>33</v>
      </c>
      <c r="L31" s="110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15">
      <c r="A32" s="1"/>
      <c r="B32" s="4"/>
      <c r="C32" s="107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 x14ac:dyDescent="0.25">
      <c r="A33" s="56"/>
      <c r="B33" s="90" t="s">
        <v>38</v>
      </c>
      <c r="C33" s="57">
        <f t="shared" ref="C33:C38" si="0">C34-0.01</f>
        <v>1.4</v>
      </c>
      <c r="D33" s="58">
        <f t="shared" ref="D33:D45" si="1">C33*$F$6</f>
        <v>14000000</v>
      </c>
      <c r="E33" s="59">
        <f t="shared" ref="E33:E45" si="2">$D33+($F$12-C33)*$F$6</f>
        <v>14600000</v>
      </c>
      <c r="F33" s="60">
        <f t="shared" ref="F33:F45" si="3">$F$24</f>
        <v>14600917.431192659</v>
      </c>
      <c r="G33" s="61">
        <f>hedge_no+J33</f>
        <v>14387800</v>
      </c>
      <c r="H33" s="62">
        <f t="shared" ref="H33:H45" si="4">($F$12-C33)*$F$6</f>
        <v>600000.00000000058</v>
      </c>
      <c r="I33" s="63">
        <f t="shared" ref="I33:I45" si="5">$F$24-D33</f>
        <v>600917.43119265884</v>
      </c>
      <c r="J33" s="64">
        <f t="shared" ref="J33:J45" si="6">fv_put_outlay+MAX(0,(x_put-gbpusd_1y_scenario)*recievable)</f>
        <v>387800.00000000058</v>
      </c>
      <c r="K33" s="65" t="str">
        <f t="shared" ref="K33:K45" si="7">IF(E33= MAX(D33,E33,F33,G33),$E$32,IF(F33= MAX(D33,E33,F33,G33),$F$32,IF(G33= MAX(D33,E33,F33,G33),$G$32,$D$32)))</f>
        <v>2. Money Market Hedge</v>
      </c>
      <c r="L33" s="66" t="str">
        <f t="shared" ref="L33:L45" si="8">IF(E33= MAX(E33,F33,G33),$E$32,IF(F33= MAX(E33,F33,G33),$F$32,$G$32))</f>
        <v>2. Money Market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 x14ac:dyDescent="0.25">
      <c r="A34" s="56"/>
      <c r="B34" s="91"/>
      <c r="C34" s="67">
        <f t="shared" si="0"/>
        <v>1.41</v>
      </c>
      <c r="D34" s="68">
        <f t="shared" si="1"/>
        <v>14100000</v>
      </c>
      <c r="E34" s="69">
        <f t="shared" si="2"/>
        <v>14600000</v>
      </c>
      <c r="F34" s="70">
        <f t="shared" si="3"/>
        <v>14600917.431192659</v>
      </c>
      <c r="G34" s="71">
        <f t="shared" ref="G34:G45" si="9">$D34+J34</f>
        <v>14387800</v>
      </c>
      <c r="H34" s="72">
        <f t="shared" si="4"/>
        <v>500000.00000000047</v>
      </c>
      <c r="I34" s="73">
        <f t="shared" si="5"/>
        <v>500917.43119265884</v>
      </c>
      <c r="J34" s="64">
        <f t="shared" si="6"/>
        <v>287800.00000000047</v>
      </c>
      <c r="K34" s="74" t="str">
        <f t="shared" si="7"/>
        <v>2. Money Market Hedge</v>
      </c>
      <c r="L34" s="75" t="str">
        <f t="shared" si="8"/>
        <v>2. Money Market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 x14ac:dyDescent="0.25">
      <c r="A35" s="56"/>
      <c r="B35" s="91"/>
      <c r="C35" s="67">
        <f t="shared" si="0"/>
        <v>1.42</v>
      </c>
      <c r="D35" s="68">
        <f t="shared" si="1"/>
        <v>14200000</v>
      </c>
      <c r="E35" s="69">
        <f t="shared" si="2"/>
        <v>14600000</v>
      </c>
      <c r="F35" s="70">
        <f t="shared" si="3"/>
        <v>14600917.431192659</v>
      </c>
      <c r="G35" s="71">
        <f t="shared" si="9"/>
        <v>14387800</v>
      </c>
      <c r="H35" s="72">
        <f t="shared" si="4"/>
        <v>400000.00000000035</v>
      </c>
      <c r="I35" s="73">
        <f t="shared" si="5"/>
        <v>400917.43119265884</v>
      </c>
      <c r="J35" s="64">
        <f t="shared" si="6"/>
        <v>187800.00000000035</v>
      </c>
      <c r="K35" s="74" t="str">
        <f t="shared" si="7"/>
        <v>2. Money Market Hedge</v>
      </c>
      <c r="L35" s="75" t="str">
        <f t="shared" si="8"/>
        <v>2. Money Market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x14ac:dyDescent="0.25">
      <c r="A36" s="56"/>
      <c r="B36" s="91"/>
      <c r="C36" s="67">
        <f t="shared" si="0"/>
        <v>1.43</v>
      </c>
      <c r="D36" s="68">
        <f t="shared" si="1"/>
        <v>14300000</v>
      </c>
      <c r="E36" s="69">
        <f t="shared" si="2"/>
        <v>14600000</v>
      </c>
      <c r="F36" s="70">
        <f t="shared" si="3"/>
        <v>14600917.431192659</v>
      </c>
      <c r="G36" s="71">
        <f t="shared" si="9"/>
        <v>14387800</v>
      </c>
      <c r="H36" s="72">
        <f t="shared" si="4"/>
        <v>300000.00000000029</v>
      </c>
      <c r="I36" s="73">
        <f t="shared" si="5"/>
        <v>300917.43119265884</v>
      </c>
      <c r="J36" s="64">
        <f t="shared" si="6"/>
        <v>87800.000000000291</v>
      </c>
      <c r="K36" s="74" t="str">
        <f t="shared" si="7"/>
        <v>2. Money Market Hedge</v>
      </c>
      <c r="L36" s="75" t="str">
        <f t="shared" si="8"/>
        <v>2. Money Market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25">
      <c r="A37" s="56"/>
      <c r="B37" s="91"/>
      <c r="C37" s="67">
        <f t="shared" si="0"/>
        <v>1.44</v>
      </c>
      <c r="D37" s="68">
        <f t="shared" si="1"/>
        <v>14400000</v>
      </c>
      <c r="E37" s="69">
        <f t="shared" si="2"/>
        <v>14600000</v>
      </c>
      <c r="F37" s="70">
        <f t="shared" si="3"/>
        <v>14600917.431192659</v>
      </c>
      <c r="G37" s="71">
        <f t="shared" si="9"/>
        <v>14387800</v>
      </c>
      <c r="H37" s="72">
        <f t="shared" si="4"/>
        <v>200000.00000000017</v>
      </c>
      <c r="I37" s="73">
        <f t="shared" si="5"/>
        <v>200917.43119265884</v>
      </c>
      <c r="J37" s="64">
        <f t="shared" si="6"/>
        <v>-12199.999999999825</v>
      </c>
      <c r="K37" s="74" t="str">
        <f t="shared" si="7"/>
        <v>2. Money Market Hedge</v>
      </c>
      <c r="L37" s="75" t="str">
        <f t="shared" si="8"/>
        <v>2. Money Market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x14ac:dyDescent="0.25">
      <c r="A38" s="56"/>
      <c r="B38" s="91"/>
      <c r="C38" s="67">
        <f t="shared" si="0"/>
        <v>1.45</v>
      </c>
      <c r="D38" s="68">
        <f t="shared" si="1"/>
        <v>14500000</v>
      </c>
      <c r="E38" s="69">
        <f t="shared" si="2"/>
        <v>14600000</v>
      </c>
      <c r="F38" s="70">
        <f t="shared" si="3"/>
        <v>14600917.431192659</v>
      </c>
      <c r="G38" s="71">
        <f t="shared" si="9"/>
        <v>14387800</v>
      </c>
      <c r="H38" s="72">
        <f t="shared" si="4"/>
        <v>100000.00000000009</v>
      </c>
      <c r="I38" s="73">
        <f t="shared" si="5"/>
        <v>100917.43119265884</v>
      </c>
      <c r="J38" s="64">
        <f t="shared" si="6"/>
        <v>-112199.99999999991</v>
      </c>
      <c r="K38" s="74" t="str">
        <f t="shared" si="7"/>
        <v>2. Money Market Hedge</v>
      </c>
      <c r="L38" s="75" t="str">
        <f t="shared" si="8"/>
        <v>2. Money Market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x14ac:dyDescent="0.25">
      <c r="A39" s="56"/>
      <c r="B39" s="91"/>
      <c r="C39" s="67">
        <v>1.46</v>
      </c>
      <c r="D39" s="68">
        <f t="shared" si="1"/>
        <v>14600000</v>
      </c>
      <c r="E39" s="69">
        <f t="shared" si="2"/>
        <v>14600000</v>
      </c>
      <c r="F39" s="70">
        <f t="shared" si="3"/>
        <v>14600917.431192659</v>
      </c>
      <c r="G39" s="71">
        <f t="shared" si="9"/>
        <v>14387800</v>
      </c>
      <c r="H39" s="72">
        <f t="shared" si="4"/>
        <v>0</v>
      </c>
      <c r="I39" s="73">
        <f t="shared" si="5"/>
        <v>917.43119265884161</v>
      </c>
      <c r="J39" s="64">
        <f t="shared" si="6"/>
        <v>-212200</v>
      </c>
      <c r="K39" s="74" t="str">
        <f t="shared" si="7"/>
        <v>2. Money Market Hedge</v>
      </c>
      <c r="L39" s="75" t="str">
        <f t="shared" si="8"/>
        <v>2. Money Market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x14ac:dyDescent="0.25">
      <c r="A40" s="56"/>
      <c r="B40" s="91"/>
      <c r="C40" s="67">
        <f t="shared" ref="C40:C45" si="10">C39+0.01</f>
        <v>1.47</v>
      </c>
      <c r="D40" s="68">
        <f t="shared" si="1"/>
        <v>14700000</v>
      </c>
      <c r="E40" s="69">
        <f t="shared" si="2"/>
        <v>14600000</v>
      </c>
      <c r="F40" s="70">
        <f t="shared" si="3"/>
        <v>14600917.431192659</v>
      </c>
      <c r="G40" s="71">
        <f t="shared" si="9"/>
        <v>14487800</v>
      </c>
      <c r="H40" s="72">
        <f t="shared" si="4"/>
        <v>-100000.00000000009</v>
      </c>
      <c r="I40" s="73">
        <f t="shared" si="5"/>
        <v>-99082.568807341158</v>
      </c>
      <c r="J40" s="64">
        <f t="shared" si="6"/>
        <v>-212200</v>
      </c>
      <c r="K40" s="74" t="str">
        <f t="shared" si="7"/>
        <v>0. No Hedge</v>
      </c>
      <c r="L40" s="75" t="str">
        <f t="shared" si="8"/>
        <v>2. Money Market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25">
      <c r="A41" s="56"/>
      <c r="B41" s="91"/>
      <c r="C41" s="67">
        <f t="shared" si="10"/>
        <v>1.48</v>
      </c>
      <c r="D41" s="68">
        <f t="shared" si="1"/>
        <v>14800000</v>
      </c>
      <c r="E41" s="69">
        <f t="shared" si="2"/>
        <v>14600000</v>
      </c>
      <c r="F41" s="70">
        <f t="shared" si="3"/>
        <v>14600917.431192659</v>
      </c>
      <c r="G41" s="71">
        <f t="shared" si="9"/>
        <v>14587800</v>
      </c>
      <c r="H41" s="72">
        <f t="shared" si="4"/>
        <v>-200000.00000000017</v>
      </c>
      <c r="I41" s="73">
        <f t="shared" si="5"/>
        <v>-199082.56880734116</v>
      </c>
      <c r="J41" s="64">
        <f t="shared" si="6"/>
        <v>-212200</v>
      </c>
      <c r="K41" s="74" t="str">
        <f t="shared" si="7"/>
        <v>0. No Hedge</v>
      </c>
      <c r="L41" s="75" t="str">
        <f t="shared" si="8"/>
        <v>2. Money Market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x14ac:dyDescent="0.25">
      <c r="A42" s="56"/>
      <c r="B42" s="91"/>
      <c r="C42" s="67">
        <f t="shared" si="10"/>
        <v>1.49</v>
      </c>
      <c r="D42" s="68">
        <f t="shared" si="1"/>
        <v>14900000</v>
      </c>
      <c r="E42" s="69">
        <f t="shared" si="2"/>
        <v>14600000</v>
      </c>
      <c r="F42" s="70">
        <f t="shared" si="3"/>
        <v>14600917.431192659</v>
      </c>
      <c r="G42" s="71">
        <f t="shared" si="9"/>
        <v>14687800</v>
      </c>
      <c r="H42" s="72">
        <f t="shared" si="4"/>
        <v>-300000.00000000029</v>
      </c>
      <c r="I42" s="73">
        <f t="shared" si="5"/>
        <v>-299082.56880734116</v>
      </c>
      <c r="J42" s="64">
        <f t="shared" si="6"/>
        <v>-212200</v>
      </c>
      <c r="K42" s="74" t="str">
        <f t="shared" si="7"/>
        <v>0. No Hedge</v>
      </c>
      <c r="L42" s="77" t="str">
        <f t="shared" si="8"/>
        <v>3. Option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x14ac:dyDescent="0.25">
      <c r="A43" s="56"/>
      <c r="B43" s="91"/>
      <c r="C43" s="67">
        <f t="shared" si="10"/>
        <v>1.5</v>
      </c>
      <c r="D43" s="68">
        <f t="shared" si="1"/>
        <v>15000000</v>
      </c>
      <c r="E43" s="69">
        <f t="shared" si="2"/>
        <v>14600000</v>
      </c>
      <c r="F43" s="70">
        <f t="shared" si="3"/>
        <v>14600917.431192659</v>
      </c>
      <c r="G43" s="71">
        <f t="shared" si="9"/>
        <v>14787800</v>
      </c>
      <c r="H43" s="72">
        <f t="shared" si="4"/>
        <v>-400000.00000000035</v>
      </c>
      <c r="I43" s="73">
        <f t="shared" si="5"/>
        <v>-399082.56880734116</v>
      </c>
      <c r="J43" s="64">
        <f t="shared" si="6"/>
        <v>-212200</v>
      </c>
      <c r="K43" s="74" t="str">
        <f t="shared" si="7"/>
        <v>0. No Hedge</v>
      </c>
      <c r="L43" s="77" t="str">
        <f t="shared" si="8"/>
        <v>3. Option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x14ac:dyDescent="0.25">
      <c r="A44" s="56"/>
      <c r="B44" s="91"/>
      <c r="C44" s="67">
        <f t="shared" si="10"/>
        <v>1.51</v>
      </c>
      <c r="D44" s="68">
        <f t="shared" si="1"/>
        <v>15100000</v>
      </c>
      <c r="E44" s="69">
        <f t="shared" si="2"/>
        <v>14600000</v>
      </c>
      <c r="F44" s="70">
        <f t="shared" si="3"/>
        <v>14600917.431192659</v>
      </c>
      <c r="G44" s="71">
        <f t="shared" si="9"/>
        <v>14887800</v>
      </c>
      <c r="H44" s="72">
        <f t="shared" si="4"/>
        <v>-500000.00000000047</v>
      </c>
      <c r="I44" s="73">
        <f t="shared" si="5"/>
        <v>-499082.56880734116</v>
      </c>
      <c r="J44" s="64">
        <f t="shared" si="6"/>
        <v>-212200</v>
      </c>
      <c r="K44" s="74" t="str">
        <f t="shared" si="7"/>
        <v>0. No Hedge</v>
      </c>
      <c r="L44" s="77" t="str">
        <f t="shared" si="8"/>
        <v>3. Option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x14ac:dyDescent="0.25">
      <c r="A45" s="56"/>
      <c r="B45" s="92"/>
      <c r="C45" s="78">
        <f t="shared" si="10"/>
        <v>1.52</v>
      </c>
      <c r="D45" s="79">
        <f t="shared" si="1"/>
        <v>15200000</v>
      </c>
      <c r="E45" s="80">
        <f t="shared" si="2"/>
        <v>14600000</v>
      </c>
      <c r="F45" s="81">
        <f t="shared" si="3"/>
        <v>14600917.431192659</v>
      </c>
      <c r="G45" s="82">
        <f t="shared" si="9"/>
        <v>14987800</v>
      </c>
      <c r="H45" s="83">
        <f t="shared" si="4"/>
        <v>-600000.00000000058</v>
      </c>
      <c r="I45" s="84">
        <f t="shared" si="5"/>
        <v>-599082.56880734116</v>
      </c>
      <c r="J45" s="64">
        <f t="shared" si="6"/>
        <v>-212200</v>
      </c>
      <c r="K45" s="85" t="str">
        <f t="shared" si="7"/>
        <v>0. No Hedge</v>
      </c>
      <c r="L45" s="86" t="str">
        <f t="shared" si="8"/>
        <v>3. Option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1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tabSelected="1" topLeftCell="A3" workbookViewId="0">
      <selection activeCell="I13" sqref="I13"/>
    </sheetView>
  </sheetViews>
  <sheetFormatPr baseColWidth="10" defaultColWidth="12.6640625" defaultRowHeight="15.75" customHeight="1" x14ac:dyDescent="0.15"/>
  <cols>
    <col min="1" max="2" width="3" customWidth="1"/>
    <col min="3" max="12" width="24.6640625" customWidth="1"/>
  </cols>
  <sheetData>
    <row r="1" spans="1:30" ht="23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1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15">
      <c r="A3" s="1"/>
      <c r="B3" s="2"/>
      <c r="C3" s="93" t="s">
        <v>43</v>
      </c>
      <c r="D3" s="88"/>
      <c r="E3" s="88"/>
      <c r="F3" s="88"/>
      <c r="G3" s="88"/>
      <c r="H3" s="88"/>
      <c r="I3" s="88"/>
      <c r="J3" s="8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" x14ac:dyDescent="0.1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25">
      <c r="A5" s="1"/>
      <c r="B5" s="4"/>
      <c r="C5" s="94" t="s">
        <v>2</v>
      </c>
      <c r="D5" s="95"/>
      <c r="E5" s="95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" x14ac:dyDescent="0.3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" x14ac:dyDescent="0.3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1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" x14ac:dyDescent="0.1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" x14ac:dyDescent="0.1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" x14ac:dyDescent="0.1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" x14ac:dyDescent="0.1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" x14ac:dyDescent="0.1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" x14ac:dyDescent="0.2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" x14ac:dyDescent="0.2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" x14ac:dyDescent="0.2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25">
      <c r="A17" s="1"/>
      <c r="B17" s="4"/>
      <c r="C17" s="96" t="s">
        <v>19</v>
      </c>
      <c r="D17" s="97"/>
      <c r="E17" s="97"/>
      <c r="F17" s="97"/>
      <c r="G17" s="97"/>
      <c r="H17" s="97"/>
      <c r="I17" s="97"/>
      <c r="J17" s="98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15">
      <c r="A18" s="1"/>
      <c r="B18" s="4"/>
      <c r="C18" s="99" t="s">
        <v>46</v>
      </c>
      <c r="D18" s="100"/>
      <c r="E18" s="101"/>
      <c r="F18" s="38">
        <f>contract_notional_value_payable*forward_price_payable</f>
        <v>8750000</v>
      </c>
      <c r="G18" s="102" t="s">
        <v>21</v>
      </c>
      <c r="H18" s="100"/>
      <c r="I18" s="100"/>
      <c r="J18" s="103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" x14ac:dyDescent="0.1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15">
      <c r="A20" s="1"/>
      <c r="B20" s="4"/>
      <c r="C20" s="104" t="s">
        <v>22</v>
      </c>
      <c r="D20" s="97"/>
      <c r="E20" s="97"/>
      <c r="F20" s="97"/>
      <c r="G20" s="97"/>
      <c r="H20" s="97"/>
      <c r="I20" s="97"/>
      <c r="J20" s="98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" x14ac:dyDescent="0.15">
      <c r="A21" s="1"/>
      <c r="B21" s="4"/>
      <c r="C21" s="87" t="s">
        <v>47</v>
      </c>
      <c r="D21" s="88"/>
      <c r="E21" s="89"/>
      <c r="F21" s="40">
        <f>contract_notional_value_payable/(1+rate_uk_1y_payable)</f>
        <v>4694835.6807511738</v>
      </c>
      <c r="G21" s="93"/>
      <c r="H21" s="88"/>
      <c r="I21" s="88"/>
      <c r="J21" s="105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" x14ac:dyDescent="0.15">
      <c r="A22" s="1"/>
      <c r="B22" s="4"/>
      <c r="C22" s="87" t="s">
        <v>48</v>
      </c>
      <c r="D22" s="88"/>
      <c r="E22" s="89"/>
      <c r="F22" s="41">
        <f>F21*current_spot_price_payable</f>
        <v>8450704.2253521122</v>
      </c>
      <c r="G22" s="93"/>
      <c r="H22" s="88"/>
      <c r="I22" s="88"/>
      <c r="J22" s="105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" x14ac:dyDescent="0.15">
      <c r="A23" s="1"/>
      <c r="B23" s="4"/>
      <c r="C23" s="87" t="s">
        <v>49</v>
      </c>
      <c r="D23" s="88"/>
      <c r="E23" s="89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15">
      <c r="A24" s="1"/>
      <c r="B24" s="4"/>
      <c r="C24" s="87" t="s">
        <v>50</v>
      </c>
      <c r="D24" s="88"/>
      <c r="E24" s="89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" x14ac:dyDescent="0.15">
      <c r="A25" s="1"/>
      <c r="B25" s="4"/>
      <c r="C25" s="87" t="s">
        <v>51</v>
      </c>
      <c r="D25" s="88"/>
      <c r="E25" s="89"/>
      <c r="F25" s="41">
        <f>F22*(1+rate_us_1y_payable)</f>
        <v>8957746.4788732398</v>
      </c>
      <c r="G25" s="93"/>
      <c r="H25" s="88"/>
      <c r="I25" s="88"/>
      <c r="J25" s="105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15">
      <c r="A26" s="1"/>
      <c r="B26" s="4"/>
      <c r="C26" s="42"/>
      <c r="D26" s="43"/>
      <c r="E26" s="43"/>
      <c r="F26" s="38">
        <f>F25</f>
        <v>8957746.4788732398</v>
      </c>
      <c r="G26" s="102" t="s">
        <v>21</v>
      </c>
      <c r="H26" s="100"/>
      <c r="I26" s="100"/>
      <c r="J26" s="10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1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15">
      <c r="A28" s="1"/>
      <c r="B28" s="4"/>
      <c r="C28" s="104" t="s">
        <v>26</v>
      </c>
      <c r="D28" s="97"/>
      <c r="E28" s="97"/>
      <c r="F28" s="97"/>
      <c r="G28" s="97"/>
      <c r="H28" s="97"/>
      <c r="I28" s="97"/>
      <c r="J28" s="98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87" t="s">
        <v>52</v>
      </c>
      <c r="D29" s="88"/>
      <c r="E29" s="89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" x14ac:dyDescent="0.25">
      <c r="A30" s="1"/>
      <c r="B30" s="4"/>
      <c r="C30" s="87" t="s">
        <v>28</v>
      </c>
      <c r="D30" s="88"/>
      <c r="E30" s="89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15">
      <c r="A31" s="1"/>
      <c r="B31" s="4"/>
      <c r="C31" s="42"/>
      <c r="D31" s="45"/>
      <c r="E31" s="45"/>
      <c r="F31" s="46">
        <f>MAX(G35:G47)</f>
        <v>0</v>
      </c>
      <c r="G31" s="102" t="s">
        <v>53</v>
      </c>
      <c r="H31" s="100"/>
      <c r="I31" s="100"/>
      <c r="J31" s="103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15">
      <c r="A32" s="1"/>
      <c r="B32" s="5"/>
      <c r="C32" s="35"/>
      <c r="D32" s="35"/>
      <c r="E32" s="35"/>
      <c r="F32" s="35"/>
      <c r="G32" s="39"/>
      <c r="H32" s="35"/>
      <c r="I32" s="35"/>
      <c r="J32" s="35"/>
      <c r="K32" s="5"/>
      <c r="L32" s="5"/>
      <c r="M32" s="5"/>
      <c r="N32" s="5"/>
      <c r="O32" s="5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15">
      <c r="A33" s="1"/>
      <c r="B33" s="112"/>
      <c r="C33" s="120"/>
      <c r="D33" s="120"/>
      <c r="E33" s="121"/>
      <c r="F33" s="121"/>
      <c r="G33" s="121"/>
      <c r="H33" s="120"/>
      <c r="I33" s="121"/>
      <c r="J33" s="121"/>
      <c r="K33" s="120"/>
      <c r="L33" s="121"/>
      <c r="M33" s="112"/>
      <c r="N33" s="112"/>
      <c r="O33" s="112"/>
      <c r="P33" s="112"/>
      <c r="Q33" s="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15">
      <c r="A34" s="1"/>
      <c r="B34" s="112"/>
      <c r="C34" s="121"/>
      <c r="D34" s="113"/>
      <c r="E34" s="113"/>
      <c r="F34" s="113"/>
      <c r="G34" s="114"/>
      <c r="H34" s="114"/>
      <c r="I34" s="113"/>
      <c r="J34" s="114"/>
      <c r="K34" s="113"/>
      <c r="L34" s="113"/>
      <c r="M34" s="112"/>
      <c r="N34" s="112"/>
      <c r="O34" s="112"/>
      <c r="P34" s="112"/>
      <c r="Q34" s="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" x14ac:dyDescent="0.25">
      <c r="A35" s="56"/>
      <c r="B35" s="122"/>
      <c r="C35" s="115"/>
      <c r="D35" s="116"/>
      <c r="E35" s="116"/>
      <c r="F35" s="117"/>
      <c r="G35" s="117"/>
      <c r="H35" s="116"/>
      <c r="I35" s="116"/>
      <c r="J35" s="116"/>
      <c r="K35" s="118"/>
      <c r="L35" s="119"/>
      <c r="M35" s="112"/>
      <c r="N35" s="112"/>
      <c r="O35" s="112"/>
      <c r="P35" s="112"/>
      <c r="Q35" s="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" x14ac:dyDescent="0.25">
      <c r="A36" s="56"/>
      <c r="B36" s="121"/>
      <c r="C36" s="115"/>
      <c r="D36" s="116"/>
      <c r="E36" s="116"/>
      <c r="F36" s="117"/>
      <c r="G36" s="117"/>
      <c r="H36" s="116"/>
      <c r="I36" s="116"/>
      <c r="J36" s="116"/>
      <c r="K36" s="118"/>
      <c r="L36" s="119"/>
      <c r="M36" s="112"/>
      <c r="N36" s="112"/>
      <c r="O36" s="112"/>
      <c r="P36" s="112"/>
      <c r="Q36" s="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" x14ac:dyDescent="0.25">
      <c r="A37" s="56"/>
      <c r="B37" s="121"/>
      <c r="C37" s="115"/>
      <c r="D37" s="116"/>
      <c r="E37" s="116"/>
      <c r="F37" s="117"/>
      <c r="G37" s="117"/>
      <c r="H37" s="116"/>
      <c r="I37" s="116"/>
      <c r="J37" s="116"/>
      <c r="K37" s="118"/>
      <c r="L37" s="119"/>
      <c r="M37" s="112"/>
      <c r="N37" s="112"/>
      <c r="O37" s="112"/>
      <c r="P37" s="112"/>
      <c r="Q37" s="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" x14ac:dyDescent="0.25">
      <c r="A38" s="56"/>
      <c r="B38" s="121"/>
      <c r="C38" s="115"/>
      <c r="D38" s="116"/>
      <c r="E38" s="116"/>
      <c r="F38" s="117"/>
      <c r="G38" s="117"/>
      <c r="H38" s="116"/>
      <c r="I38" s="116"/>
      <c r="J38" s="116"/>
      <c r="K38" s="118"/>
      <c r="L38" s="119"/>
      <c r="M38" s="112"/>
      <c r="N38" s="112"/>
      <c r="O38" s="112"/>
      <c r="P38" s="112"/>
      <c r="Q38" s="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" x14ac:dyDescent="0.25">
      <c r="A39" s="56"/>
      <c r="B39" s="121"/>
      <c r="C39" s="115"/>
      <c r="D39" s="116"/>
      <c r="E39" s="116"/>
      <c r="F39" s="117"/>
      <c r="G39" s="117"/>
      <c r="H39" s="116"/>
      <c r="I39" s="116"/>
      <c r="J39" s="116"/>
      <c r="K39" s="118"/>
      <c r="L39" s="119"/>
      <c r="M39" s="112"/>
      <c r="N39" s="112"/>
      <c r="O39" s="112"/>
      <c r="P39" s="112"/>
      <c r="Q39" s="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" x14ac:dyDescent="0.25">
      <c r="A40" s="56"/>
      <c r="B40" s="121"/>
      <c r="C40" s="115"/>
      <c r="D40" s="116"/>
      <c r="E40" s="116"/>
      <c r="F40" s="117"/>
      <c r="G40" s="117"/>
      <c r="H40" s="116"/>
      <c r="I40" s="116"/>
      <c r="J40" s="116"/>
      <c r="K40" s="118"/>
      <c r="L40" s="118"/>
      <c r="M40" s="112"/>
      <c r="N40" s="112"/>
      <c r="O40" s="112"/>
      <c r="P40" s="112"/>
      <c r="Q40" s="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" x14ac:dyDescent="0.25">
      <c r="A41" s="56"/>
      <c r="B41" s="121"/>
      <c r="C41" s="115"/>
      <c r="D41" s="116"/>
      <c r="E41" s="116"/>
      <c r="F41" s="117"/>
      <c r="G41" s="117"/>
      <c r="H41" s="116"/>
      <c r="I41" s="116"/>
      <c r="J41" s="116"/>
      <c r="K41" s="118"/>
      <c r="L41" s="118"/>
      <c r="M41" s="112"/>
      <c r="N41" s="112"/>
      <c r="O41" s="112"/>
      <c r="P41" s="112"/>
      <c r="Q41" s="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" x14ac:dyDescent="0.25">
      <c r="A42" s="56"/>
      <c r="B42" s="121"/>
      <c r="C42" s="115"/>
      <c r="D42" s="116"/>
      <c r="E42" s="116"/>
      <c r="F42" s="117"/>
      <c r="G42" s="117"/>
      <c r="H42" s="116"/>
      <c r="I42" s="116"/>
      <c r="J42" s="116"/>
      <c r="K42" s="118"/>
      <c r="L42" s="118"/>
      <c r="M42" s="112"/>
      <c r="N42" s="112"/>
      <c r="O42" s="112"/>
      <c r="P42" s="112"/>
      <c r="Q42" s="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" x14ac:dyDescent="0.25">
      <c r="A43" s="56"/>
      <c r="B43" s="121"/>
      <c r="C43" s="115"/>
      <c r="D43" s="116"/>
      <c r="E43" s="116"/>
      <c r="F43" s="117"/>
      <c r="G43" s="117"/>
      <c r="H43" s="116"/>
      <c r="I43" s="116"/>
      <c r="J43" s="116"/>
      <c r="K43" s="118"/>
      <c r="L43" s="118"/>
      <c r="M43" s="112"/>
      <c r="N43" s="112"/>
      <c r="O43" s="112"/>
      <c r="P43" s="112"/>
      <c r="Q43" s="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" x14ac:dyDescent="0.25">
      <c r="A44" s="56"/>
      <c r="B44" s="121"/>
      <c r="C44" s="115"/>
      <c r="D44" s="116"/>
      <c r="E44" s="116"/>
      <c r="F44" s="117"/>
      <c r="G44" s="117"/>
      <c r="H44" s="116"/>
      <c r="I44" s="116"/>
      <c r="J44" s="116"/>
      <c r="K44" s="118"/>
      <c r="L44" s="119"/>
      <c r="M44" s="112"/>
      <c r="N44" s="112"/>
      <c r="O44" s="112"/>
      <c r="P44" s="112"/>
      <c r="Q44" s="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" x14ac:dyDescent="0.25">
      <c r="A45" s="56"/>
      <c r="B45" s="121"/>
      <c r="C45" s="115"/>
      <c r="D45" s="116"/>
      <c r="E45" s="116"/>
      <c r="F45" s="117"/>
      <c r="G45" s="117"/>
      <c r="H45" s="116"/>
      <c r="I45" s="116"/>
      <c r="J45" s="116"/>
      <c r="K45" s="118"/>
      <c r="L45" s="119"/>
      <c r="M45" s="112"/>
      <c r="N45" s="112"/>
      <c r="O45" s="112"/>
      <c r="P45" s="112"/>
      <c r="Q45" s="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" x14ac:dyDescent="0.25">
      <c r="A46" s="56"/>
      <c r="B46" s="121"/>
      <c r="C46" s="115"/>
      <c r="D46" s="116"/>
      <c r="E46" s="116"/>
      <c r="F46" s="117"/>
      <c r="G46" s="117"/>
      <c r="H46" s="116"/>
      <c r="I46" s="116"/>
      <c r="J46" s="116"/>
      <c r="K46" s="118"/>
      <c r="L46" s="119"/>
      <c r="M46" s="112"/>
      <c r="N46" s="112"/>
      <c r="O46" s="112"/>
      <c r="P46" s="112"/>
      <c r="Q46" s="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" x14ac:dyDescent="0.25">
      <c r="A47" s="56"/>
      <c r="B47" s="121"/>
      <c r="C47" s="115"/>
      <c r="D47" s="116"/>
      <c r="E47" s="116"/>
      <c r="F47" s="117"/>
      <c r="G47" s="117"/>
      <c r="H47" s="116"/>
      <c r="I47" s="116"/>
      <c r="J47" s="116"/>
      <c r="K47" s="118"/>
      <c r="L47" s="119"/>
      <c r="M47" s="112"/>
      <c r="N47" s="112"/>
      <c r="O47" s="112"/>
      <c r="P47" s="112"/>
      <c r="Q47" s="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" x14ac:dyDescent="0.15">
      <c r="A48" s="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" x14ac:dyDescent="0.1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" x14ac:dyDescent="0.1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" x14ac:dyDescent="0.1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" x14ac:dyDescent="0.1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" x14ac:dyDescent="0.1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" x14ac:dyDescent="0.1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" x14ac:dyDescent="0.1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" x14ac:dyDescent="0.1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" x14ac:dyDescent="0.1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" x14ac:dyDescent="0.1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" x14ac:dyDescent="0.1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" x14ac:dyDescent="0.1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" x14ac:dyDescent="0.1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" x14ac:dyDescent="0.1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" x14ac:dyDescent="0.1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" x14ac:dyDescent="0.1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" x14ac:dyDescent="0.1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" x14ac:dyDescent="0.1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" x14ac:dyDescent="0.1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" x14ac:dyDescent="0.1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" x14ac:dyDescent="0.1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" x14ac:dyDescent="0.1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" x14ac:dyDescent="0.1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" x14ac:dyDescent="0.1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" x14ac:dyDescent="0.1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" x14ac:dyDescent="0.1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" x14ac:dyDescent="0.1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" x14ac:dyDescent="0.1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" x14ac:dyDescent="0.1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" x14ac:dyDescent="0.1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" x14ac:dyDescent="0.1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" x14ac:dyDescent="0.1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" x14ac:dyDescent="0.1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" x14ac:dyDescent="0.1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" x14ac:dyDescent="0.1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" x14ac:dyDescent="0.1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" x14ac:dyDescent="0.1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" x14ac:dyDescent="0.1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" x14ac:dyDescent="0.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" x14ac:dyDescent="0.1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" x14ac:dyDescent="0.1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" x14ac:dyDescent="0.1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" x14ac:dyDescent="0.1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" x14ac:dyDescent="0.1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" x14ac:dyDescent="0.1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" x14ac:dyDescent="0.1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" x14ac:dyDescent="0.1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" x14ac:dyDescent="0.1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" x14ac:dyDescent="0.1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" x14ac:dyDescent="0.1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" x14ac:dyDescent="0.1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" x14ac:dyDescent="0.1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" x14ac:dyDescent="0.1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" x14ac:dyDescent="0.1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" x14ac:dyDescent="0.1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" x14ac:dyDescent="0.1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" x14ac:dyDescent="0.1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" x14ac:dyDescent="0.1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" x14ac:dyDescent="0.1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" x14ac:dyDescent="0.1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" x14ac:dyDescent="0.1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" x14ac:dyDescent="0.1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" x14ac:dyDescent="0.1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" x14ac:dyDescent="0.1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" x14ac:dyDescent="0.1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" x14ac:dyDescent="0.1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" x14ac:dyDescent="0.1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" x14ac:dyDescent="0.1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" x14ac:dyDescent="0.1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" x14ac:dyDescent="0.1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" x14ac:dyDescent="0.1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" x14ac:dyDescent="0.1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" x14ac:dyDescent="0.1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" x14ac:dyDescent="0.1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" x14ac:dyDescent="0.1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" x14ac:dyDescent="0.1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" x14ac:dyDescent="0.1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" x14ac:dyDescent="0.1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" x14ac:dyDescent="0.1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" x14ac:dyDescent="0.1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" x14ac:dyDescent="0.1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" x14ac:dyDescent="0.1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" x14ac:dyDescent="0.1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" x14ac:dyDescent="0.1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" x14ac:dyDescent="0.1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" x14ac:dyDescent="0.1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" x14ac:dyDescent="0.1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" x14ac:dyDescent="0.1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" x14ac:dyDescent="0.1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" x14ac:dyDescent="0.1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" x14ac:dyDescent="0.1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" x14ac:dyDescent="0.1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" x14ac:dyDescent="0.1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" x14ac:dyDescent="0.1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" x14ac:dyDescent="0.1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" x14ac:dyDescent="0.1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" x14ac:dyDescent="0.1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" x14ac:dyDescent="0.1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" x14ac:dyDescent="0.1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" x14ac:dyDescent="0.1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" x14ac:dyDescent="0.1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" x14ac:dyDescent="0.1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" x14ac:dyDescent="0.1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" x14ac:dyDescent="0.1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" x14ac:dyDescent="0.1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" x14ac:dyDescent="0.1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" x14ac:dyDescent="0.1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" x14ac:dyDescent="0.1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" x14ac:dyDescent="0.1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" x14ac:dyDescent="0.1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" x14ac:dyDescent="0.1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" x14ac:dyDescent="0.1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" x14ac:dyDescent="0.1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" x14ac:dyDescent="0.1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" x14ac:dyDescent="0.1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" x14ac:dyDescent="0.1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" x14ac:dyDescent="0.1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" x14ac:dyDescent="0.1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" x14ac:dyDescent="0.1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" x14ac:dyDescent="0.1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" x14ac:dyDescent="0.1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" x14ac:dyDescent="0.1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" x14ac:dyDescent="0.1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" x14ac:dyDescent="0.1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" x14ac:dyDescent="0.1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" x14ac:dyDescent="0.1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" x14ac:dyDescent="0.1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" x14ac:dyDescent="0.1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" x14ac:dyDescent="0.1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" x14ac:dyDescent="0.1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" x14ac:dyDescent="0.1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" x14ac:dyDescent="0.1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" x14ac:dyDescent="0.1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" x14ac:dyDescent="0.1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" x14ac:dyDescent="0.1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" x14ac:dyDescent="0.1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" x14ac:dyDescent="0.1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" x14ac:dyDescent="0.1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" x14ac:dyDescent="0.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" x14ac:dyDescent="0.1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" x14ac:dyDescent="0.1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" x14ac:dyDescent="0.1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" x14ac:dyDescent="0.1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" x14ac:dyDescent="0.1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" x14ac:dyDescent="0.1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" x14ac:dyDescent="0.1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" x14ac:dyDescent="0.1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" x14ac:dyDescent="0.1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" x14ac:dyDescent="0.1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" x14ac:dyDescent="0.1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" x14ac:dyDescent="0.1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" x14ac:dyDescent="0.1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" x14ac:dyDescent="0.1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" x14ac:dyDescent="0.1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" x14ac:dyDescent="0.1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" x14ac:dyDescent="0.1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" x14ac:dyDescent="0.1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" x14ac:dyDescent="0.1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" x14ac:dyDescent="0.1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" x14ac:dyDescent="0.1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" x14ac:dyDescent="0.1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" x14ac:dyDescent="0.1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" x14ac:dyDescent="0.1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" x14ac:dyDescent="0.1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" x14ac:dyDescent="0.1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" x14ac:dyDescent="0.1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" x14ac:dyDescent="0.1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" x14ac:dyDescent="0.1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" x14ac:dyDescent="0.1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" x14ac:dyDescent="0.1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" x14ac:dyDescent="0.1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" x14ac:dyDescent="0.1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" x14ac:dyDescent="0.1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" x14ac:dyDescent="0.1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" x14ac:dyDescent="0.1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" x14ac:dyDescent="0.1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" x14ac:dyDescent="0.1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" x14ac:dyDescent="0.1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" x14ac:dyDescent="0.1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" x14ac:dyDescent="0.1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" x14ac:dyDescent="0.1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" x14ac:dyDescent="0.1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" x14ac:dyDescent="0.1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" x14ac:dyDescent="0.1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" x14ac:dyDescent="0.1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" x14ac:dyDescent="0.1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" x14ac:dyDescent="0.1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" x14ac:dyDescent="0.1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" x14ac:dyDescent="0.1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" x14ac:dyDescent="0.1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" x14ac:dyDescent="0.1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" x14ac:dyDescent="0.1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" x14ac:dyDescent="0.1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" x14ac:dyDescent="0.1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" x14ac:dyDescent="0.1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" x14ac:dyDescent="0.1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" x14ac:dyDescent="0.1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" x14ac:dyDescent="0.1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" x14ac:dyDescent="0.1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" x14ac:dyDescent="0.1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" x14ac:dyDescent="0.1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" x14ac:dyDescent="0.1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" x14ac:dyDescent="0.1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" x14ac:dyDescent="0.1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" x14ac:dyDescent="0.1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" x14ac:dyDescent="0.1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" x14ac:dyDescent="0.1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" x14ac:dyDescent="0.1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" x14ac:dyDescent="0.1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" x14ac:dyDescent="0.1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" x14ac:dyDescent="0.1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" x14ac:dyDescent="0.1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" x14ac:dyDescent="0.1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" x14ac:dyDescent="0.1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" x14ac:dyDescent="0.1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" x14ac:dyDescent="0.1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" x14ac:dyDescent="0.1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" x14ac:dyDescent="0.1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" x14ac:dyDescent="0.1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" x14ac:dyDescent="0.1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" x14ac:dyDescent="0.1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" x14ac:dyDescent="0.1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" x14ac:dyDescent="0.1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" x14ac:dyDescent="0.1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" x14ac:dyDescent="0.1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" x14ac:dyDescent="0.1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" x14ac:dyDescent="0.1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" x14ac:dyDescent="0.1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" x14ac:dyDescent="0.1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" x14ac:dyDescent="0.1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" x14ac:dyDescent="0.1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" x14ac:dyDescent="0.1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" x14ac:dyDescent="0.1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" x14ac:dyDescent="0.1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" x14ac:dyDescent="0.1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" x14ac:dyDescent="0.1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" x14ac:dyDescent="0.1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" x14ac:dyDescent="0.1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" x14ac:dyDescent="0.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" x14ac:dyDescent="0.1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" x14ac:dyDescent="0.1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" x14ac:dyDescent="0.1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" x14ac:dyDescent="0.1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" x14ac:dyDescent="0.1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" x14ac:dyDescent="0.1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" x14ac:dyDescent="0.1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" x14ac:dyDescent="0.1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" x14ac:dyDescent="0.1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" x14ac:dyDescent="0.1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" x14ac:dyDescent="0.1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" x14ac:dyDescent="0.1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" x14ac:dyDescent="0.1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" x14ac:dyDescent="0.1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" x14ac:dyDescent="0.1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" x14ac:dyDescent="0.1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" x14ac:dyDescent="0.1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" x14ac:dyDescent="0.1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" x14ac:dyDescent="0.1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" x14ac:dyDescent="0.1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" x14ac:dyDescent="0.1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" x14ac:dyDescent="0.1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" x14ac:dyDescent="0.1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" x14ac:dyDescent="0.1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" x14ac:dyDescent="0.1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" x14ac:dyDescent="0.1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" x14ac:dyDescent="0.1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" x14ac:dyDescent="0.1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" x14ac:dyDescent="0.1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" x14ac:dyDescent="0.1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" x14ac:dyDescent="0.1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" x14ac:dyDescent="0.1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" x14ac:dyDescent="0.1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" x14ac:dyDescent="0.1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" x14ac:dyDescent="0.1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" x14ac:dyDescent="0.1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" x14ac:dyDescent="0.1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" x14ac:dyDescent="0.1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" x14ac:dyDescent="0.1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" x14ac:dyDescent="0.1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" x14ac:dyDescent="0.1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" x14ac:dyDescent="0.1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" x14ac:dyDescent="0.1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" x14ac:dyDescent="0.1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" x14ac:dyDescent="0.1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" x14ac:dyDescent="0.1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" x14ac:dyDescent="0.1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" x14ac:dyDescent="0.1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" x14ac:dyDescent="0.1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" x14ac:dyDescent="0.1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" x14ac:dyDescent="0.1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" x14ac:dyDescent="0.1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" x14ac:dyDescent="0.1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" x14ac:dyDescent="0.1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" x14ac:dyDescent="0.1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" x14ac:dyDescent="0.1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" x14ac:dyDescent="0.1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" x14ac:dyDescent="0.1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" x14ac:dyDescent="0.1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" x14ac:dyDescent="0.1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" x14ac:dyDescent="0.1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" x14ac:dyDescent="0.1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" x14ac:dyDescent="0.1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" x14ac:dyDescent="0.1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" x14ac:dyDescent="0.1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" x14ac:dyDescent="0.1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" x14ac:dyDescent="0.1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" x14ac:dyDescent="0.1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" x14ac:dyDescent="0.1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" x14ac:dyDescent="0.1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" x14ac:dyDescent="0.1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" x14ac:dyDescent="0.1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" x14ac:dyDescent="0.1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" x14ac:dyDescent="0.1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" x14ac:dyDescent="0.1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" x14ac:dyDescent="0.1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" x14ac:dyDescent="0.1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" x14ac:dyDescent="0.1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" x14ac:dyDescent="0.1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" x14ac:dyDescent="0.1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" x14ac:dyDescent="0.1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" x14ac:dyDescent="0.1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" x14ac:dyDescent="0.1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" x14ac:dyDescent="0.1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" x14ac:dyDescent="0.1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" x14ac:dyDescent="0.1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" x14ac:dyDescent="0.1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" x14ac:dyDescent="0.1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" x14ac:dyDescent="0.1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" x14ac:dyDescent="0.1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" x14ac:dyDescent="0.1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" x14ac:dyDescent="0.1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" x14ac:dyDescent="0.1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" x14ac:dyDescent="0.1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" x14ac:dyDescent="0.1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" x14ac:dyDescent="0.1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" x14ac:dyDescent="0.1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" x14ac:dyDescent="0.1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" x14ac:dyDescent="0.1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" x14ac:dyDescent="0.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" x14ac:dyDescent="0.1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" x14ac:dyDescent="0.1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" x14ac:dyDescent="0.1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" x14ac:dyDescent="0.1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" x14ac:dyDescent="0.1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" x14ac:dyDescent="0.1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" x14ac:dyDescent="0.1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" x14ac:dyDescent="0.1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" x14ac:dyDescent="0.1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" x14ac:dyDescent="0.1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" x14ac:dyDescent="0.1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" x14ac:dyDescent="0.1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" x14ac:dyDescent="0.1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" x14ac:dyDescent="0.1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" x14ac:dyDescent="0.1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" x14ac:dyDescent="0.1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" x14ac:dyDescent="0.1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" x14ac:dyDescent="0.1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" x14ac:dyDescent="0.1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" x14ac:dyDescent="0.1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" x14ac:dyDescent="0.1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" x14ac:dyDescent="0.1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" x14ac:dyDescent="0.1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" x14ac:dyDescent="0.1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" x14ac:dyDescent="0.1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" x14ac:dyDescent="0.1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" x14ac:dyDescent="0.1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" x14ac:dyDescent="0.1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" x14ac:dyDescent="0.1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" x14ac:dyDescent="0.1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" x14ac:dyDescent="0.1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" x14ac:dyDescent="0.1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" x14ac:dyDescent="0.1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" x14ac:dyDescent="0.1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" x14ac:dyDescent="0.1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" x14ac:dyDescent="0.1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" x14ac:dyDescent="0.1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" x14ac:dyDescent="0.1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" x14ac:dyDescent="0.1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" x14ac:dyDescent="0.1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" x14ac:dyDescent="0.1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" x14ac:dyDescent="0.1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" x14ac:dyDescent="0.1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" x14ac:dyDescent="0.1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" x14ac:dyDescent="0.1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" x14ac:dyDescent="0.1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" x14ac:dyDescent="0.1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" x14ac:dyDescent="0.1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" x14ac:dyDescent="0.1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" x14ac:dyDescent="0.1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" x14ac:dyDescent="0.1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" x14ac:dyDescent="0.1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" x14ac:dyDescent="0.1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" x14ac:dyDescent="0.1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" x14ac:dyDescent="0.1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" x14ac:dyDescent="0.1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" x14ac:dyDescent="0.1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" x14ac:dyDescent="0.1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" x14ac:dyDescent="0.1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" x14ac:dyDescent="0.1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" x14ac:dyDescent="0.1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" x14ac:dyDescent="0.1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" x14ac:dyDescent="0.1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" x14ac:dyDescent="0.1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" x14ac:dyDescent="0.1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" x14ac:dyDescent="0.1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" x14ac:dyDescent="0.1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" x14ac:dyDescent="0.1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" x14ac:dyDescent="0.1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" x14ac:dyDescent="0.1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" x14ac:dyDescent="0.1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" x14ac:dyDescent="0.1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" x14ac:dyDescent="0.1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" x14ac:dyDescent="0.1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" x14ac:dyDescent="0.1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" x14ac:dyDescent="0.1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" x14ac:dyDescent="0.1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" x14ac:dyDescent="0.1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" x14ac:dyDescent="0.1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" x14ac:dyDescent="0.1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" x14ac:dyDescent="0.1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" x14ac:dyDescent="0.1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" x14ac:dyDescent="0.1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" x14ac:dyDescent="0.1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" x14ac:dyDescent="0.1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" x14ac:dyDescent="0.1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" x14ac:dyDescent="0.1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" x14ac:dyDescent="0.1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" x14ac:dyDescent="0.1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" x14ac:dyDescent="0.1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" x14ac:dyDescent="0.1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" x14ac:dyDescent="0.1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" x14ac:dyDescent="0.1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" x14ac:dyDescent="0.1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" x14ac:dyDescent="0.1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" x14ac:dyDescent="0.1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" x14ac:dyDescent="0.1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" x14ac:dyDescent="0.1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" x14ac:dyDescent="0.1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" x14ac:dyDescent="0.1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" x14ac:dyDescent="0.1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19">
    <mergeCell ref="G22:J22"/>
    <mergeCell ref="G25:J25"/>
    <mergeCell ref="G26:J26"/>
    <mergeCell ref="C28:J28"/>
    <mergeCell ref="C29:E29"/>
    <mergeCell ref="C30:E30"/>
    <mergeCell ref="G31:J31"/>
    <mergeCell ref="C3:J3"/>
    <mergeCell ref="C5:E5"/>
    <mergeCell ref="C17:J17"/>
    <mergeCell ref="C18:E18"/>
    <mergeCell ref="G18:J18"/>
    <mergeCell ref="C20:J20"/>
    <mergeCell ref="G21:J21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Anahi Teon</cp:lastModifiedBy>
  <dcterms:created xsi:type="dcterms:W3CDTF">2026-04-15T20:45:40Z</dcterms:created>
  <dcterms:modified xsi:type="dcterms:W3CDTF">2026-04-15T20:45:40Z</dcterms:modified>
</cp:coreProperties>
</file>